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1" sheetId="2" r:id="rId6"/>
    <sheet state="visible" name="Marketing Dashboard" sheetId="3" r:id="rId7"/>
    <sheet state="visible" name="Insights" sheetId="4" r:id="rId8"/>
  </sheets>
  <definedNames>
    <definedName hidden="1" localSheetId="1" name="Z_A9A8E1AC_ECEE_41D5_9343_5C7162EF66B7_.wvu.FilterData">'Pivot Table 1'!$E$1:$F$7</definedName>
    <definedName hidden="1" localSheetId="1" name="Z_A9A8E1AC_ECEE_41D5_9343_5C7162EF66B7_.wvu.FilterData">'Pivot Table 1'!$J$9:$L$15</definedName>
    <definedName hidden="1" localSheetId="1" name="Z_A9A8E1AC_ECEE_41D5_9343_5C7162EF66B7_.wvu.FilterData">'Pivot Table 1'!$A$17:$C$22</definedName>
    <definedName name="SlicerCache_Table_1_Col_1">#N/A</definedName>
    <definedName name="SlicerCache_Table_2_Col_1">#N/A</definedName>
    <definedName name="SlicerCache_Table_3_Col_1">#N/A</definedName>
  </definedNames>
  <calcPr/>
  <customWorkbookViews>
    <customWorkbookView activeSheetId="0" maximized="1" windowHeight="0" windowWidth="0" guid="{A9A8E1AC-ECEE-41D5-9343-5C7162EF66B7}" name="Filter 1"/>
  </customWorkbookViews>
  <pivotCaches>
    <pivotCache cacheId="0" r:id="rId9"/>
    <pivotCache cacheId="1" r:id="rId10"/>
  </pivotCaches>
  <extLst>
    <ext uri="{46BE6895-7355-4a93-B00E-2C351335B9C9}">
      <x15:slicerCaches>
        <x14:slicerCache r:id="rId11"/>
        <x14:slicerCache r:id="rId12"/>
        <x14:slicerCache r:id="rId13"/>
      </x15:slicerCaches>
    </ext>
  </extLst>
</workbook>
</file>

<file path=xl/sharedStrings.xml><?xml version="1.0" encoding="utf-8"?>
<sst xmlns="http://schemas.openxmlformats.org/spreadsheetml/2006/main" count="1576" uniqueCount="549">
  <si>
    <t>Campaign_ID</t>
  </si>
  <si>
    <t>Date</t>
  </si>
  <si>
    <t>Channel</t>
  </si>
  <si>
    <t>Region</t>
  </si>
  <si>
    <t>Budget ($)</t>
  </si>
  <si>
    <t>Spend ($)</t>
  </si>
  <si>
    <t>Impressions</t>
  </si>
  <si>
    <t>Clicks</t>
  </si>
  <si>
    <t>Conversions</t>
  </si>
  <si>
    <t>Revenue ($)</t>
  </si>
  <si>
    <t>CTR</t>
  </si>
  <si>
    <t>CPC</t>
  </si>
  <si>
    <t>CPA</t>
  </si>
  <si>
    <t>ROAS</t>
  </si>
  <si>
    <t>Profit</t>
  </si>
  <si>
    <t>Profit Margin%</t>
  </si>
  <si>
    <t>Year</t>
  </si>
  <si>
    <t>Month</t>
  </si>
  <si>
    <t>YearMonth</t>
  </si>
  <si>
    <t>C0001</t>
  </si>
  <si>
    <t>Google Ads</t>
  </si>
  <si>
    <t>East</t>
  </si>
  <si>
    <t>C0002</t>
  </si>
  <si>
    <t>Facebook</t>
  </si>
  <si>
    <t>South</t>
  </si>
  <si>
    <t>C0003</t>
  </si>
  <si>
    <t>North</t>
  </si>
  <si>
    <t>C0004</t>
  </si>
  <si>
    <t>Twitter</t>
  </si>
  <si>
    <t>West</t>
  </si>
  <si>
    <t>C0005</t>
  </si>
  <si>
    <t>LinkedIn</t>
  </si>
  <si>
    <t>C0006</t>
  </si>
  <si>
    <t>Instagram</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</si>
  <si>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</si>
  <si>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</si>
  <si>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</si>
  <si>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</si>
  <si>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</si>
  <si>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</si>
  <si>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</si>
  <si>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</si>
  <si>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</si>
  <si>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</si>
  <si>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</si>
  <si>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</si>
  <si>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</si>
  <si>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</si>
  <si>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</si>
  <si>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</si>
  <si>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</si>
  <si>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</si>
  <si>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</si>
  <si>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</si>
  <si>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</si>
  <si>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</si>
  <si>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</si>
  <si>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</si>
  <si>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</si>
  <si>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</si>
  <si>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</si>
  <si>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</si>
  <si>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</si>
  <si>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</si>
  <si>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</si>
  <si>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</si>
  <si>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</si>
  <si>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</si>
  <si>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</si>
  <si>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</si>
  <si>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</si>
  <si>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</si>
  <si>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</si>
  <si>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</si>
  <si>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</si>
  <si>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</si>
  <si>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</si>
  <si>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</si>
  <si>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</si>
  <si>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</si>
  <si>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</si>
  <si>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</si>
  <si>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</si>
  <si>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</si>
  <si>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</si>
  <si>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</si>
  <si>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</si>
  <si>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</si>
  <si>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</si>
  <si>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</si>
  <si>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</si>
  <si>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</si>
  <si>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</si>
  <si>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</si>
  <si>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</si>
  <si>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</si>
  <si>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</si>
  <si>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</si>
  <si>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</si>
  <si>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</si>
  <si>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</si>
  <si>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</si>
  <si>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</si>
  <si>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</si>
  <si>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</si>
  <si>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</si>
  <si>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</si>
  <si>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</si>
  <si>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</si>
  <si>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</si>
  <si>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</si>
  <si>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</si>
  <si>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</si>
  <si>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</si>
  <si>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</si>
  <si>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</si>
  <si>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</si>
  <si>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</si>
  <si>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</si>
  <si>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</si>
  <si>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</si>
  <si>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</si>
  <si>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</si>
  <si>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</si>
  <si>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</si>
  <si>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</si>
  <si>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</si>
  <si>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</si>
  <si>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</si>
  <si>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</si>
  <si>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</si>
  <si>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</si>
  <si>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</si>
  <si>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</si>
  <si>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</si>
  <si>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</si>
  <si>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</si>
  <si>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</si>
  <si>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</si>
  <si>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</si>
  <si>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</si>
  <si>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</si>
  <si>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</si>
  <si>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</si>
  <si>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</si>
  <si>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</si>
  <si>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</si>
  <si>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</si>
  <si>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</si>
  <si>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</si>
  <si>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</si>
  <si>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</si>
  <si>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</si>
  <si>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</si>
  <si>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</si>
  <si>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</si>
  <si>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</si>
  <si>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</si>
  <si>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</si>
  <si>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</si>
  <si>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</si>
  <si>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</si>
  <si>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</si>
  <si>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</si>
  <si>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</si>
  <si>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</si>
  <si>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</si>
  <si>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</si>
  <si>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</si>
  <si>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</si>
  <si>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</si>
  <si>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</si>
  <si>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</si>
  <si>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</si>
  <si>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</si>
  <si>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</si>
  <si>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</si>
  <si>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</si>
  <si>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</si>
  <si>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</si>
  <si>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</si>
  <si>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</si>
  <si>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</si>
  <si>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</si>
  <si>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</si>
  <si>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</si>
  <si>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</si>
  <si>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</si>
  <si>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</si>
  <si>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</si>
  <si>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</si>
  <si>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</si>
  <si>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</si>
  <si>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</si>
  <si>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</si>
  <si>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</si>
  <si>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</si>
  <si>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</si>
  <si>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</si>
  <si>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</si>
  <si>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</si>
  <si>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</si>
  <si>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</si>
  <si>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</si>
  <si>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</si>
  <si>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</si>
  <si>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</si>
  <si>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</si>
  <si>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</si>
  <si>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</si>
  <si>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</si>
  <si>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</si>
  <si>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</si>
  <si>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</si>
  <si>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</si>
  <si>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</si>
  <si>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</si>
  <si>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</si>
  <si>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</si>
  <si>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</si>
  <si>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</si>
  <si>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</si>
  <si>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</si>
  <si>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</si>
  <si>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</si>
  <si>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</si>
  <si>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</si>
  <si>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</si>
  <si>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</si>
  <si>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</si>
  <si>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</si>
  <si>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</si>
  <si>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</si>
  <si>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</si>
  <si>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</si>
  <si>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</si>
  <si>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</si>
  <si>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</si>
  <si>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</si>
  <si>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</si>
  <si>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</si>
  <si>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</si>
  <si>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</si>
  <si>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</si>
  <si>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</si>
  <si>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</si>
  <si>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</si>
  <si>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</si>
  <si>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</si>
  <si>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</si>
  <si>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</si>
  <si>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</si>
  <si>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</si>
  <si>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</si>
  <si>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</si>
  <si>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</si>
  <si>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</si>
  <si>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</si>
  <si>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</si>
  <si>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</si>
  <si>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</si>
  <si>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</si>
  <si>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</si>
  <si>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</si>
  <si>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</si>
  <si>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</si>
  <si>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</si>
  <si>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</si>
  <si>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</si>
  <si>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</si>
  <si>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</si>
  <si>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</si>
  <si>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</si>
  <si>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</si>
  <si>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</si>
  <si>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</si>
  <si>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</si>
  <si>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</si>
  <si>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</si>
  <si>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</si>
  <si>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</si>
  <si>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</si>
  <si>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</si>
  <si>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</si>
  <si>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</si>
  <si>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</si>
  <si>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</si>
  <si>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</si>
  <si>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</si>
  <si>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</si>
  <si>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</si>
  <si>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</si>
  <si>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</si>
  <si>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</si>
  <si>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</si>
  <si>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</si>
  <si>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</si>
  <si>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</si>
  <si>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</si>
  <si>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</si>
  <si>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</si>
  <si>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</si>
  <si>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</si>
  <si>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</si>
  <si>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</si>
  <si>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</si>
  <si>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</si>
  <si>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</si>
  <si>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</si>
  <si>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</si>
  <si>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</si>
  <si>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</si>
  <si>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</si>
  <si>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</si>
  <si>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</si>
  <si>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</si>
  <si>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</si>
  <si>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</si>
  <si>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</si>
  <si>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</si>
  <si>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</si>
  <si>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</si>
  <si>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</si>
  <si>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</si>
  <si>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</si>
  <si>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</si>
  <si>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</si>
  <si>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</si>
  <si>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</si>
  <si>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</si>
  <si>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</si>
  <si>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</si>
  <si>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</si>
  <si>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</si>
  <si>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</si>
  <si>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</si>
  <si>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</si>
  <si>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</si>
  <si>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</si>
  <si>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</si>
  <si>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</si>
  <si>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</si>
  <si>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</si>
  <si>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</si>
  <si>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</si>
  <si>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</si>
  <si>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</si>
  <si>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</si>
  <si>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</si>
  <si>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</si>
  <si>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</si>
  <si>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</si>
  <si>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</si>
  <si>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</si>
  <si>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</si>
  <si>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</si>
  <si>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</si>
  <si>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</si>
  <si>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</si>
  <si>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</si>
  <si>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</si>
  <si>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</si>
  <si>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</si>
  <si>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</si>
  <si>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</si>
  <si>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</si>
  <si>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</si>
  <si>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</si>
  <si>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</si>
  <si>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</si>
  <si>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</si>
  <si>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</si>
  <si>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</si>
  <si>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</si>
  <si>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</si>
  <si>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</si>
  <si>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</si>
  <si>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</si>
  <si>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</si>
  <si>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</si>
  <si>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</si>
  <si>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</si>
  <si>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</si>
  <si>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</si>
  <si>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</si>
  <si>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</si>
  <si>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</si>
  <si>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</si>
  <si>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</si>
  <si>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</si>
  <si>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</si>
  <si>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</si>
  <si>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</si>
  <si>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</si>
  <si>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</si>
  <si>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</si>
  <si>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</si>
  <si>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</si>
  <si>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</si>
  <si>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</si>
  <si>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</si>
  <si>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</si>
  <si>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</si>
  <si>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</si>
  <si>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</si>
  <si>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</si>
  <si>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</si>
  <si>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</si>
  <si>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</si>
  <si>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</si>
  <si>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</si>
  <si>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</si>
  <si>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</si>
  <si>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</si>
  <si>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</si>
  <si>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</si>
  <si>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</si>
  <si>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</si>
  <si>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</si>
  <si>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</si>
  <si>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</si>
  <si>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</si>
  <si>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</si>
  <si>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</si>
  <si>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</si>
  <si>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</si>
  <si>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</si>
  <si>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</si>
  <si>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</si>
  <si>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</si>
  <si>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</si>
  <si>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</si>
  <si>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</si>
  <si>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</si>
  <si>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</si>
  <si>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</si>
  <si>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</si>
  <si>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</si>
  <si>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</si>
  <si>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</si>
  <si>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</si>
  <si>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</si>
  <si>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</si>
  <si>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</si>
  <si>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</si>
  <si>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</si>
  <si>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</si>
  <si>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</si>
  <si>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</si>
  <si>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</si>
  <si>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</si>
  <si>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</si>
  <si>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</si>
  <si>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</si>
  <si>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</si>
  <si>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</si>
  <si>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</si>
  <si>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</si>
  <si>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</si>
  <si>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</si>
  <si>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</si>
  <si>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</si>
  <si>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</si>
  <si>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</si>
  <si>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</si>
  <si>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</si>
  <si>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</si>
  <si>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</si>
  <si>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</si>
  <si>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</si>
  <si>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</si>
  <si>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</si>
  <si>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</si>
  <si>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</si>
  <si>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</si>
  <si>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</si>
  <si>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</si>
  <si>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</si>
  <si>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</si>
  <si>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</si>
  <si>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</si>
  <si>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</si>
  <si>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</si>
  <si>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</si>
  <si>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</si>
  <si>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</si>
  <si>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</si>
  <si>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</si>
  <si>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</si>
  <si>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</si>
  <si>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</si>
  <si>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</si>
  <si>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</si>
  <si>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</si>
  <si>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</si>
  <si>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</si>
  <si>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</si>
  <si>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</si>
  <si>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</si>
  <si>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</si>
  <si>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</si>
  <si>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</si>
  <si>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</si>
  <si>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</si>
  <si>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</si>
  <si>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</si>
  <si>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</si>
  <si>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</si>
  <si>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</si>
  <si>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</si>
  <si>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</si>
  <si>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</si>
  <si>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</si>
  <si>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</si>
  <si>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</si>
  <si>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</si>
  <si>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</si>
  <si>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</si>
  <si>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</si>
  <si>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</si>
  <si>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</si>
  <si>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</si>
  <si>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</si>
  <si>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</si>
  <si>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</si>
  <si>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</si>
  <si>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</si>
  <si>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</si>
  <si>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rows</t>
  </si>
  <si>
    <t>SUM of Budget ($)</t>
  </si>
  <si>
    <t>Grand Total</t>
  </si>
  <si>
    <t>SUM of ROAS</t>
  </si>
  <si>
    <t>SUM of CTR</t>
  </si>
  <si>
    <t>SUM of Revenue ($)</t>
  </si>
  <si>
    <t>SUM of Profit</t>
  </si>
  <si>
    <t>SUM of Impressions</t>
  </si>
  <si>
    <t>SUM of Clicks</t>
  </si>
  <si>
    <t>SUM of Conversions</t>
  </si>
  <si>
    <t>SUM of Spend ($)</t>
  </si>
  <si>
    <t>AVERAGE of ROAS</t>
  </si>
  <si>
    <t>2024-12</t>
  </si>
  <si>
    <t>2025-01</t>
  </si>
  <si>
    <t>2025-02</t>
  </si>
  <si>
    <t>2025-03</t>
  </si>
  <si>
    <t>2025-04</t>
  </si>
  <si>
    <t>2025-05</t>
  </si>
  <si>
    <t>2025-06</t>
  </si>
  <si>
    <r>
      <rPr>
        <rFont val="Arial"/>
        <color theme="1"/>
        <sz val="24.0"/>
      </rPr>
      <t xml:space="preserve">                                                                        </t>
    </r>
    <r>
      <rPr>
        <rFont val="Arial"/>
        <b/>
        <color rgb="FF20124D"/>
        <sz val="24.0"/>
      </rPr>
      <t>Marketing Campaign Performance Dashboard</t>
    </r>
  </si>
  <si>
    <t>The campaigns are profitable with strong ROAS and positive overall profit.
Instagram is the most efficient channel, while Twitter is the weakest.
West region is the most responsive market.
Recent months show revenue growth.
Funnel analysis reveals scope to improve CTR and conversion rate.
Budget should be shifted from low-ROAS channels to high-ROAS channels for better ROI.</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</si>
</sst>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rial"/>
      <scheme val="minor"/>
    </font>
    <font>
      <b/>
      <sz val="11.0"/>
      <color theme="1"/>
      <name val="Calibri"/>
    </font>
    <font>
      <color theme="1"/>
      <name val="Arial"/>
    </font>
    <font>
      <sz val="11.0"/>
      <color theme="1"/>
      <name val="Calibri"/>
    </font>
    <font>
      <color theme="1"/>
      <name val="Arial"/>
      <scheme val="minor"/>
    </font>
    <font>
      <sz val="11.0"/>
      <color theme="1"/>
      <name val="Arial"/>
    </font>
    <font>
      <sz val="11.0"/>
      <color rgb="FFFFFFFF"/>
      <name val="Arial"/>
    </font>
    <font>
      <i/>
      <sz val="11.0"/>
      <color theme="1"/>
      <name val="Arial"/>
    </font>
    <font>
      <b/>
      <sz val="11.0"/>
      <color theme="1"/>
      <name val="Arial"/>
    </font>
    <font>
      <sz val="24.0"/>
      <color theme="1"/>
      <name val="Arial"/>
      <scheme val="minor"/>
    </font>
    <font>
      <b/>
      <color theme="1"/>
      <name val="Arial"/>
    </font>
    <font>
      <b/>
      <color theme="1"/>
      <name val="Arial"/>
      <scheme val="minor"/>
    </font>
    <font>
      <sz val="13.0"/>
      <color theme="1"/>
      <name val="Verdana"/>
    </font>
    <font>
      <color theme="1"/>
      <name val="Verdana"/>
    </font>
  </fonts>
  <fills count="8">
    <fill>
      <patternFill patternType="none"/>
    </fill>
    <fill>
      <patternFill patternType="lightGray"/>
    </fill>
    <fill>
      <patternFill patternType="solid">
        <fgColor rgb="FFD8E2E7"/>
        <bgColor rgb="FFD8E2E7"/>
      </patternFill>
    </fill>
    <fill>
      <patternFill patternType="solid">
        <fgColor rgb="FF638DA2"/>
        <bgColor rgb="FF638DA2"/>
      </patternFill>
    </fill>
    <fill>
      <patternFill patternType="solid">
        <fgColor rgb="FFF2F5F7"/>
        <bgColor rgb="FFF2F5F7"/>
      </patternFill>
    </fill>
    <fill>
      <patternFill patternType="solid">
        <fgColor rgb="FFFFFFFF"/>
        <bgColor rgb="FFFFFFFF"/>
      </patternFill>
    </fill>
    <fill>
      <patternFill patternType="solid">
        <fgColor rgb="FF8E7CC3"/>
        <bgColor rgb="FF8E7CC3"/>
      </patternFill>
    </fill>
    <fill>
      <patternFill patternType="solid">
        <fgColor rgb="FF76A5AF"/>
        <bgColor rgb="FF76A5AF"/>
      </patternFill>
    </fill>
  </fills>
  <borders count="9">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000000"/>
      </top>
      <bottom style="medium">
        <color rgb="FF000000"/>
      </bottom>
    </border>
    <border>
      <left style="medium">
        <color rgb="FFCCCCCC"/>
      </left>
    </border>
    <border>
      <left style="medium">
        <color rgb="FFCCCCCC"/>
      </left>
      <right style="medium">
        <color rgb="FFCCCCCC"/>
      </right>
      <top style="medium">
        <color rgb="FFCCCCCC"/>
      </top>
      <bottom style="medium">
        <color rgb="FFCCCCCC"/>
      </bottom>
    </border>
    <border>
      <bottom style="thick">
        <color rgb="FF638DA2"/>
      </bottom>
    </border>
    <border>
      <right style="thin">
        <color rgb="FFFFFFFF"/>
      </right>
    </border>
    <border>
      <top style="double">
        <color rgb="FF000000"/>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3" fillId="0" fontId="1" numFmtId="0" xfId="0" applyAlignment="1" applyBorder="1" applyFont="1">
      <alignment horizontal="center" vertical="center"/>
    </xf>
    <xf borderId="4" fillId="0" fontId="1" numFmtId="0" xfId="0" applyAlignment="1" applyBorder="1" applyFont="1">
      <alignment horizontal="center" shrinkToFit="0" vertical="top" wrapText="1"/>
    </xf>
    <xf borderId="0" fillId="0" fontId="1" numFmtId="0" xfId="0" applyAlignment="1" applyFont="1">
      <alignment horizontal="center" shrinkToFit="0" vertical="top" wrapText="1"/>
    </xf>
    <xf borderId="0" fillId="0" fontId="2" numFmtId="0" xfId="0" applyAlignment="1" applyFont="1">
      <alignment readingOrder="0"/>
    </xf>
    <xf borderId="5" fillId="0" fontId="3" numFmtId="0" xfId="0" applyAlignment="1" applyBorder="1" applyFont="1">
      <alignment shrinkToFit="0" wrapText="1"/>
    </xf>
    <xf borderId="5" fillId="0" fontId="3" numFmtId="14" xfId="0" applyAlignment="1" applyBorder="1" applyFont="1" applyNumberFormat="1">
      <alignment horizontal="right" shrinkToFit="0" wrapText="1"/>
    </xf>
    <xf borderId="5" fillId="0" fontId="3" numFmtId="0" xfId="0" applyAlignment="1" applyBorder="1" applyFont="1">
      <alignment horizontal="right" shrinkToFit="0" wrapText="1"/>
    </xf>
    <xf borderId="0" fillId="0" fontId="4" numFmtId="0" xfId="0" applyFont="1"/>
    <xf borderId="6" fillId="2" fontId="5" numFmtId="0" xfId="0" applyAlignment="1" applyBorder="1" applyFill="1" applyFont="1">
      <alignment vertical="bottom"/>
    </xf>
    <xf borderId="6" fillId="3" fontId="6" numFmtId="0" xfId="0" applyAlignment="1" applyBorder="1" applyFill="1" applyFont="1">
      <alignment vertical="bottom"/>
    </xf>
    <xf borderId="6" fillId="2" fontId="7" numFmtId="0" xfId="0" applyAlignment="1" applyBorder="1" applyFont="1">
      <alignment vertical="bottom"/>
    </xf>
    <xf borderId="7" fillId="4" fontId="5" numFmtId="0" xfId="0" applyAlignment="1" applyBorder="1" applyFill="1" applyFont="1">
      <alignment vertical="bottom"/>
    </xf>
    <xf borderId="0" fillId="5" fontId="5" numFmtId="0" xfId="0" applyAlignment="1" applyFill="1" applyFont="1">
      <alignment horizontal="right" vertical="bottom"/>
    </xf>
    <xf borderId="8" fillId="2" fontId="8" numFmtId="0" xfId="0" applyAlignment="1" applyBorder="1" applyFont="1">
      <alignment vertical="bottom"/>
    </xf>
    <xf borderId="8" fillId="2" fontId="8" numFmtId="0" xfId="0" applyAlignment="1" applyBorder="1" applyFont="1">
      <alignment horizontal="right" vertical="bottom"/>
    </xf>
    <xf borderId="0" fillId="6" fontId="9" numFmtId="0" xfId="0" applyAlignment="1" applyFill="1" applyFont="1">
      <alignment readingOrder="0"/>
    </xf>
    <xf borderId="0" fillId="6" fontId="9" numFmtId="0" xfId="0" applyFont="1"/>
    <xf borderId="0" fillId="7" fontId="4" numFmtId="0" xfId="0" applyFill="1" applyFont="1"/>
    <xf borderId="0" fillId="7" fontId="10" numFmtId="0" xfId="0" applyAlignment="1" applyFont="1">
      <alignment readingOrder="0"/>
    </xf>
    <xf borderId="0" fillId="7" fontId="2" numFmtId="0" xfId="0" applyAlignment="1" applyFont="1">
      <alignment readingOrder="0"/>
    </xf>
    <xf borderId="0" fillId="7" fontId="11" numFmtId="0" xfId="0" applyFont="1"/>
    <xf borderId="0" fillId="7" fontId="11" numFmtId="10" xfId="0" applyFont="1" applyNumberFormat="1"/>
    <xf borderId="0" fillId="7" fontId="4" numFmtId="10" xfId="0" applyFont="1" applyNumberFormat="1"/>
    <xf borderId="0" fillId="0" fontId="12" numFmtId="0" xfId="0" applyAlignment="1" applyFont="1">
      <alignment horizontal="left" readingOrder="0"/>
    </xf>
    <xf borderId="0" fillId="0" fontId="13"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2.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2400">
                <a:solidFill>
                  <a:srgbClr val="20124D"/>
                </a:solidFill>
                <a:latin typeface="Tahoma"/>
              </a:defRPr>
            </a:pPr>
            <a:r>
              <a:rPr b="1" i="1" sz="2400">
                <a:solidFill>
                  <a:srgbClr val="20124D"/>
                </a:solidFill>
                <a:latin typeface="Tahoma"/>
              </a:rPr>
              <a:t>ROAS by Channel</a:t>
            </a:r>
          </a:p>
        </c:rich>
      </c:tx>
      <c:overlay val="0"/>
    </c:title>
    <c:plotArea>
      <c:layout/>
      <c:barChart>
        <c:barDir val="bar"/>
        <c:ser>
          <c:idx val="0"/>
          <c:order val="0"/>
          <c:tx>
            <c:strRef>
              <c:f>'Pivot Table 1'!$B$9</c:f>
            </c:strRef>
          </c:tx>
          <c:spPr>
            <a:solidFill>
              <a:schemeClr val="accent1"/>
            </a:solidFill>
            <a:ln cmpd="sng">
              <a:solidFill>
                <a:srgbClr val="000000"/>
              </a:solidFill>
            </a:ln>
          </c:spPr>
          <c:cat>
            <c:strRef>
              <c:f>'Pivot Table 1'!$A$10:$A$15</c:f>
            </c:strRef>
          </c:cat>
          <c:val>
            <c:numRef>
              <c:f>'Pivot Table 1'!$B$10:$B$15</c:f>
              <c:numCache/>
            </c:numRef>
          </c:val>
        </c:ser>
        <c:axId val="700001697"/>
        <c:axId val="1403354811"/>
      </c:barChart>
      <c:catAx>
        <c:axId val="7000016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Channel</a:t>
                </a:r>
              </a:p>
            </c:rich>
          </c:tx>
          <c:overlay val="0"/>
        </c:title>
        <c:numFmt formatCode="General" sourceLinked="1"/>
        <c:majorTickMark val="none"/>
        <c:minorTickMark val="none"/>
        <c:spPr/>
        <c:txPr>
          <a:bodyPr/>
          <a:lstStyle/>
          <a:p>
            <a:pPr lvl="0">
              <a:defRPr b="0">
                <a:solidFill>
                  <a:srgbClr val="000000"/>
                </a:solidFill>
                <a:latin typeface="+mn-lt"/>
              </a:defRPr>
            </a:pPr>
          </a:p>
        </c:txPr>
        <c:crossAx val="1403354811"/>
      </c:catAx>
      <c:valAx>
        <c:axId val="14033548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000169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2400">
                <a:solidFill>
                  <a:srgbClr val="20124D"/>
                </a:solidFill>
                <a:latin typeface="Tahoma"/>
              </a:defRPr>
            </a:pPr>
            <a:r>
              <a:rPr b="1" i="1" sz="2400">
                <a:solidFill>
                  <a:srgbClr val="20124D"/>
                </a:solidFill>
                <a:latin typeface="Tahoma"/>
              </a:rPr>
              <a:t>SUM of Conversions and SUM of Profit</a:t>
            </a:r>
          </a:p>
        </c:rich>
      </c:tx>
      <c:overlay val="0"/>
    </c:title>
    <c:plotArea>
      <c:layout/>
      <c:barChart>
        <c:barDir val="bar"/>
        <c:ser>
          <c:idx val="0"/>
          <c:order val="0"/>
          <c:tx>
            <c:strRef>
              <c:f>'Pivot Table 1'!$B$17</c:f>
            </c:strRef>
          </c:tx>
          <c:spPr>
            <a:solidFill>
              <a:schemeClr val="accent1"/>
            </a:solidFill>
            <a:ln cmpd="sng">
              <a:solidFill>
                <a:srgbClr val="000000"/>
              </a:solidFill>
            </a:ln>
          </c:spPr>
          <c:cat>
            <c:strRef>
              <c:f>'Pivot Table 1'!$A$18:$A$22</c:f>
            </c:strRef>
          </c:cat>
          <c:val>
            <c:numRef>
              <c:f>'Pivot Table 1'!$B$18:$B$22</c:f>
              <c:numCache/>
            </c:numRef>
          </c:val>
        </c:ser>
        <c:ser>
          <c:idx val="1"/>
          <c:order val="1"/>
          <c:tx>
            <c:strRef>
              <c:f>'Pivot Table 1'!$C$17</c:f>
            </c:strRef>
          </c:tx>
          <c:spPr>
            <a:solidFill>
              <a:schemeClr val="accent2"/>
            </a:solidFill>
            <a:ln cmpd="sng">
              <a:solidFill>
                <a:srgbClr val="000000"/>
              </a:solidFill>
            </a:ln>
          </c:spPr>
          <c:cat>
            <c:strRef>
              <c:f>'Pivot Table 1'!$A$18:$A$22</c:f>
            </c:strRef>
          </c:cat>
          <c:val>
            <c:numRef>
              <c:f>'Pivot Table 1'!$C$18:$C$22</c:f>
              <c:numCache/>
            </c:numRef>
          </c:val>
        </c:ser>
        <c:axId val="367088546"/>
        <c:axId val="580696867"/>
      </c:barChart>
      <c:catAx>
        <c:axId val="3670885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580696867"/>
      </c:catAx>
      <c:valAx>
        <c:axId val="5806968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708854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2400">
                <a:solidFill>
                  <a:srgbClr val="20124D"/>
                </a:solidFill>
                <a:latin typeface="Tahoma"/>
              </a:defRPr>
            </a:pPr>
            <a:r>
              <a:rPr b="1" i="1" sz="2400">
                <a:solidFill>
                  <a:srgbClr val="20124D"/>
                </a:solidFill>
                <a:latin typeface="Tahoma"/>
              </a:rPr>
              <a:t>Marketing Funnel</a:t>
            </a:r>
          </a:p>
        </c:rich>
      </c:tx>
      <c:overlay val="0"/>
    </c:title>
    <c:plotArea>
      <c:layout/>
      <c:barChart>
        <c:barDir val="col"/>
        <c:ser>
          <c:idx val="0"/>
          <c:order val="0"/>
          <c:spPr>
            <a:solidFill>
              <a:schemeClr val="accent1"/>
            </a:solidFill>
            <a:ln cmpd="sng">
              <a:solidFill>
                <a:srgbClr val="000000"/>
              </a:solidFill>
            </a:ln>
          </c:spPr>
          <c:cat>
            <c:strRef>
              <c:f>'Pivot Table 1'!$E$14:$G$14</c:f>
            </c:strRef>
          </c:cat>
          <c:val>
            <c:numRef>
              <c:f>'Pivot Table 1'!$E$15:$G$15</c:f>
              <c:numCache/>
            </c:numRef>
          </c:val>
        </c:ser>
        <c:axId val="500280658"/>
        <c:axId val="1940266541"/>
      </c:barChart>
      <c:catAx>
        <c:axId val="5002806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40266541"/>
      </c:catAx>
      <c:valAx>
        <c:axId val="1940266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028065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2400">
                <a:solidFill>
                  <a:srgbClr val="20124D"/>
                </a:solidFill>
                <a:latin typeface="Tahoma"/>
              </a:defRPr>
            </a:pPr>
            <a:r>
              <a:rPr b="1" i="1" sz="2400">
                <a:solidFill>
                  <a:srgbClr val="20124D"/>
                </a:solidFill>
                <a:latin typeface="Tahoma"/>
              </a:rPr>
              <a:t>Channel Budget</a:t>
            </a:r>
          </a:p>
        </c:rich>
      </c:tx>
      <c:overlay val="0"/>
    </c:title>
    <c:plotArea>
      <c:layout/>
      <c:pieChart>
        <c:varyColors val="1"/>
        <c:ser>
          <c:idx val="0"/>
          <c:order val="0"/>
          <c:tx>
            <c:strRef>
              <c:f>'Pivot Table 1'!$F$1</c:f>
            </c:strRef>
          </c:tx>
          <c:dPt>
            <c:idx val="0"/>
            <c:spPr>
              <a:solidFill>
                <a:srgbClr val="D9D2E9"/>
              </a:solidFill>
              <a:ln cmpd="sng" w="9525">
                <a:solidFill>
                  <a:srgbClr val="000000"/>
                </a:solidFill>
              </a:ln>
            </c:spPr>
          </c:dPt>
          <c:dPt>
            <c:idx val="1"/>
            <c:spPr>
              <a:solidFill>
                <a:srgbClr val="B4A7D6"/>
              </a:solidFill>
              <a:ln cmpd="sng" w="9525">
                <a:solidFill>
                  <a:srgbClr val="000000"/>
                </a:solidFill>
              </a:ln>
            </c:spPr>
          </c:dPt>
          <c:dPt>
            <c:idx val="2"/>
            <c:spPr>
              <a:solidFill>
                <a:srgbClr val="8E7CC3"/>
              </a:solidFill>
              <a:ln cmpd="sng" w="9525">
                <a:solidFill>
                  <a:srgbClr val="000000"/>
                </a:solidFill>
              </a:ln>
            </c:spPr>
          </c:dPt>
          <c:dPt>
            <c:idx val="3"/>
            <c:explosion val="0"/>
            <c:spPr>
              <a:solidFill>
                <a:srgbClr val="674EA7"/>
              </a:solidFill>
              <a:ln cmpd="sng" w="9525">
                <a:solidFill>
                  <a:srgbClr val="000000"/>
                </a:solidFill>
              </a:ln>
            </c:spPr>
          </c:dPt>
          <c:dPt>
            <c:idx val="4"/>
            <c:spPr>
              <a:solidFill>
                <a:srgbClr val="351C75"/>
              </a:solidFill>
              <a:ln cmpd="sng" w="9525">
                <a:solidFill>
                  <a:srgbClr val="000000"/>
                </a:solidFill>
              </a:ln>
            </c:spPr>
          </c:dPt>
          <c:dPt>
            <c:idx val="5"/>
            <c:spPr>
              <a:solidFill>
                <a:srgbClr val="20124D"/>
              </a:solidFill>
              <a:ln cmpd="sng" w="9525">
                <a:solidFill>
                  <a:srgbClr val="000000"/>
                </a:solidFill>
              </a:ln>
            </c:spPr>
          </c:dPt>
          <c:dLbls>
            <c:showLegendKey val="0"/>
            <c:showVal val="1"/>
            <c:showCatName val="0"/>
            <c:showSerName val="0"/>
            <c:showPercent val="0"/>
            <c:showBubbleSize val="0"/>
            <c:showLeaderLines val="1"/>
          </c:dLbls>
          <c:cat>
            <c:strRef>
              <c:f>'Pivot Table 1'!$E$2:$E$7</c:f>
            </c:strRef>
          </c:cat>
          <c:val>
            <c:numRef>
              <c:f>'Pivot Table 1'!$F$2:$F$7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2400">
                <a:solidFill>
                  <a:srgbClr val="20124D"/>
                </a:solidFill>
                <a:latin typeface="Tahoma"/>
              </a:defRPr>
            </a:pPr>
            <a:r>
              <a:rPr b="1" i="1" sz="2400">
                <a:solidFill>
                  <a:srgbClr val="20124D"/>
                </a:solidFill>
                <a:latin typeface="Tahoma"/>
              </a:rPr>
              <a:t>Monthly Spend VS Revenue Trend</a:t>
            </a:r>
          </a:p>
        </c:rich>
      </c:tx>
      <c:overlay val="0"/>
    </c:title>
    <c:plotArea>
      <c:layout/>
      <c:lineChart>
        <c:ser>
          <c:idx val="0"/>
          <c:order val="0"/>
          <c:tx>
            <c:strRef>
              <c:f>'Pivot Table 1'!$K$9</c:f>
            </c:strRef>
          </c:tx>
          <c:spPr>
            <a:ln cmpd="sng">
              <a:solidFill>
                <a:srgbClr val="5891AD"/>
              </a:solidFill>
            </a:ln>
          </c:spPr>
          <c:marker>
            <c:symbol val="none"/>
          </c:marker>
          <c:cat>
            <c:strRef>
              <c:f>'Pivot Table 1'!$J$10:$J$15</c:f>
            </c:strRef>
          </c:cat>
          <c:val>
            <c:numRef>
              <c:f>'Pivot Table 1'!$K$10:$K$15</c:f>
              <c:numCache/>
            </c:numRef>
          </c:val>
          <c:smooth val="0"/>
        </c:ser>
        <c:ser>
          <c:idx val="1"/>
          <c:order val="1"/>
          <c:tx>
            <c:strRef>
              <c:f>'Pivot Table 1'!$L$9</c:f>
            </c:strRef>
          </c:tx>
          <c:spPr>
            <a:ln cmpd="sng">
              <a:solidFill>
                <a:srgbClr val="004561"/>
              </a:solidFill>
            </a:ln>
          </c:spPr>
          <c:marker>
            <c:symbol val="none"/>
          </c:marker>
          <c:cat>
            <c:strRef>
              <c:f>'Pivot Table 1'!$J$10:$J$15</c:f>
            </c:strRef>
          </c:cat>
          <c:val>
            <c:numRef>
              <c:f>'Pivot Table 1'!$L$10:$L$15</c:f>
              <c:numCache/>
            </c:numRef>
          </c:val>
          <c:smooth val="0"/>
        </c:ser>
        <c:axId val="1567581866"/>
        <c:axId val="1586531779"/>
      </c:lineChart>
      <c:catAx>
        <c:axId val="1567581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Channel</a:t>
                </a:r>
              </a:p>
            </c:rich>
          </c:tx>
          <c:overlay val="0"/>
        </c:title>
        <c:numFmt formatCode="General" sourceLinked="1"/>
        <c:majorTickMark val="none"/>
        <c:minorTickMark val="none"/>
        <c:spPr/>
        <c:txPr>
          <a:bodyPr/>
          <a:lstStyle/>
          <a:p>
            <a:pPr lvl="0">
              <a:defRPr b="0">
                <a:solidFill>
                  <a:srgbClr val="000000"/>
                </a:solidFill>
                <a:latin typeface="+mn-lt"/>
              </a:defRPr>
            </a:pPr>
          </a:p>
        </c:txPr>
        <c:crossAx val="1586531779"/>
      </c:catAx>
      <c:valAx>
        <c:axId val="1586531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7581866"/>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19</xdr:row>
      <xdr:rowOff>47625</xdr:rowOff>
    </xdr:from>
    <xdr:ext cx="5191125" cy="3190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238125</xdr:colOff>
      <xdr:row>1</xdr:row>
      <xdr:rowOff>180975</xdr:rowOff>
    </xdr:from>
    <xdr:ext cx="5229225" cy="31908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495300</xdr:colOff>
      <xdr:row>18</xdr:row>
      <xdr:rowOff>190500</xdr:rowOff>
    </xdr:from>
    <xdr:ext cx="5448300" cy="31908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381000</xdr:colOff>
      <xdr:row>19</xdr:row>
      <xdr:rowOff>47625</xdr:rowOff>
    </xdr:from>
    <xdr:ext cx="5181600" cy="31908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171450</xdr:colOff>
      <xdr:row>1</xdr:row>
      <xdr:rowOff>180975</xdr:rowOff>
    </xdr:from>
    <xdr:ext cx="5191125" cy="31908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xdr:col>
      <xdr:colOff>381000</xdr:colOff>
      <xdr:row>2</xdr:row>
      <xdr:rowOff>57150</xdr:rowOff>
    </xdr:from>
    <xdr:ext cx="2971800" cy="2857500"/>
    <mc:AlternateContent>
      <mc:Choice Requires="sle15">
        <xdr:graphicFrame>
          <xdr:nvGraphicFramePr>
            <xdr:cNvPr id="1" name="Channel_1"/>
            <xdr:cNvGraphicFramePr/>
          </xdr:nvGraphicFramePr>
          <xdr:xfrm>
            <a:off x="0" y="0"/>
            <a:ext cx="0" cy="0"/>
          </xdr:xfrm>
          <a:graphic>
            <a:graphicData uri="http://schemas.microsoft.com/office/drawing/2010/slicer">
              <x3Unk:slicer name="Channel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809625</xdr:colOff>
      <xdr:row>20</xdr:row>
      <xdr:rowOff>19050</xdr:rowOff>
    </xdr:from>
    <xdr:ext cx="2266950" cy="2857500"/>
    <mc:AlternateContent>
      <mc:Choice Requires="sle15">
        <xdr:graphicFrame>
          <xdr:nvGraphicFramePr>
            <xdr:cNvPr id="2" name="Channel_2"/>
            <xdr:cNvGraphicFramePr/>
          </xdr:nvGraphicFramePr>
          <xdr:xfrm>
            <a:off x="0" y="0"/>
            <a:ext cx="0" cy="0"/>
          </xdr:xfrm>
          <a:graphic>
            <a:graphicData uri="http://schemas.microsoft.com/office/drawing/2010/slicer">
              <x3Unk:slicer name="Channel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762000</xdr:colOff>
      <xdr:row>1</xdr:row>
      <xdr:rowOff>180975</xdr:rowOff>
    </xdr:from>
    <xdr:ext cx="2971800" cy="2857500"/>
    <mc:AlternateContent>
      <mc:Choice Requires="sle15">
        <xdr:graphicFrame>
          <xdr:nvGraphicFramePr>
            <xdr:cNvPr id="3" name="Region_3"/>
            <xdr:cNvGraphicFramePr/>
          </xdr:nvGraphicFramePr>
          <xdr:xfrm>
            <a:off x="0" y="0"/>
            <a:ext cx="0" cy="0"/>
          </xdr:xfrm>
          <a:graphic>
            <a:graphicData uri="http://schemas.microsoft.com/office/drawing/2010/slicer">
              <x3Unk:slicer name="Reg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501" sheet="Sheet1"/>
  </cacheSource>
  <cacheFields>
    <cacheField name="Campaign_ID" numFmtId="0">
      <sharedItems>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Date" numFmtId="14">
      <sharedItems containsSemiMixedTypes="0" containsDate="1" containsString="0">
        <d v="2025-05-03T00:00:00Z"/>
        <d v="2025-01-17T00:00:00Z"/>
        <d v="2025-04-04T00:00:00Z"/>
        <d v="2025-05-30T00:00:00Z"/>
        <d v="2025-05-14T00:00:00Z"/>
        <d v="2025-04-17T00:00:00Z"/>
        <d v="2025-03-30T00:00:00Z"/>
        <d v="2025-04-09T00:00:00Z"/>
        <d v="2025-02-02T00:00:00Z"/>
        <d v="2025-03-28T00:00:00Z"/>
        <d v="2025-04-07T00:00:00Z"/>
        <d v="2025-05-28T00:00:00Z"/>
        <d v="2025-01-15T00:00:00Z"/>
        <d v="2024-12-20T00:00:00Z"/>
        <d v="2025-02-03T00:00:00Z"/>
        <d v="2025-03-09T00:00:00Z"/>
        <d v="2025-05-26T00:00:00Z"/>
        <d v="2025-01-12T00:00:00Z"/>
        <d v="2025-06-06T00:00:00Z"/>
        <d v="2025-05-07T00:00:00Z"/>
        <d v="2025-06-02T00:00:00Z"/>
        <d v="2025-04-19T00:00:00Z"/>
        <d v="2025-02-15T00:00:00Z"/>
        <d v="2025-04-06T00:00:00Z"/>
        <d v="2025-03-05T00:00:00Z"/>
        <d v="2025-06-01T00:00:00Z"/>
        <d v="2025-01-22T00:00:00Z"/>
        <d v="2025-04-21T00:00:00Z"/>
        <d v="2025-05-25T00:00:00Z"/>
        <d v="2025-02-23T00:00:00Z"/>
        <d v="2024-12-27T00:00:00Z"/>
        <d v="2025-04-08T00:00:00Z"/>
        <d v="2025-02-13T00:00:00Z"/>
        <d v="2025-04-12T00:00:00Z"/>
        <d v="2025-03-06T00:00:00Z"/>
        <d v="2025-04-01T00:00:00Z"/>
        <d v="2025-01-14T00:00:00Z"/>
        <d v="2024-12-16T00:00:00Z"/>
        <d v="2025-04-16T00:00:00Z"/>
        <d v="2025-05-08T00:00:00Z"/>
        <d v="2025-05-20T00:00:00Z"/>
        <d v="2025-01-05T00:00:00Z"/>
        <d v="2025-03-10T00:00:00Z"/>
        <d v="2025-02-05T00:00:00Z"/>
        <d v="2025-05-29T00:00:00Z"/>
        <d v="2025-03-11T00:00:00Z"/>
        <d v="2025-01-10T00:00:00Z"/>
        <d v="2025-01-25T00:00:00Z"/>
        <d v="2025-01-27T00:00:00Z"/>
        <d v="2025-02-16T00:00:00Z"/>
        <d v="2025-04-25T00:00:00Z"/>
        <d v="2025-04-22T00:00:00Z"/>
        <d v="2025-03-31T00:00:00Z"/>
        <d v="2024-12-19T00:00:00Z"/>
        <d v="2025-02-22T00:00:00Z"/>
        <d v="2025-03-01T00:00:00Z"/>
        <d v="2025-03-18T00:00:00Z"/>
        <d v="2024-12-28T00:00:00Z"/>
        <d v="2025-04-10T00:00:00Z"/>
        <d v="2025-01-30T00:00:00Z"/>
        <d v="2025-02-10T00:00:00Z"/>
        <d v="2025-03-08T00:00:00Z"/>
        <d v="2025-02-24T00:00:00Z"/>
        <d v="2025-06-10T00:00:00Z"/>
        <d v="2024-12-10T00:00:00Z"/>
        <d v="2025-02-25T00:00:00Z"/>
        <d v="2025-03-15T00:00:00Z"/>
        <d v="2025-02-18T00:00:00Z"/>
        <d v="2024-12-13T00:00:00Z"/>
        <d v="2025-05-24T00:00:00Z"/>
        <d v="2025-04-20T00:00:00Z"/>
        <d v="2025-05-02T00:00:00Z"/>
        <d v="2025-06-05T00:00:00Z"/>
        <d v="2025-03-26T00:00:00Z"/>
        <d v="2025-01-11T00:00:00Z"/>
        <d v="2025-03-04T00:00:00Z"/>
        <d v="2025-02-21T00:00:00Z"/>
        <d v="2025-04-05T00:00:00Z"/>
        <d v="2025-04-27T00:00:00Z"/>
        <d v="2025-02-28T00:00:00Z"/>
        <d v="2025-04-28T00:00:00Z"/>
        <d v="2024-12-14T00:00:00Z"/>
        <d v="2025-03-19T00:00:00Z"/>
        <d v="2025-03-03T00:00:00Z"/>
        <d v="2025-02-09T00:00:00Z"/>
        <d v="2025-01-16T00:00:00Z"/>
        <d v="2025-04-30T00:00:00Z"/>
        <d v="2025-01-23T00:00:00Z"/>
        <d v="2025-04-23T00:00:00Z"/>
        <d v="2025-01-28T00:00:00Z"/>
        <d v="2025-02-27T00:00:00Z"/>
        <d v="2024-12-24T00:00:00Z"/>
        <d v="2025-05-31T00:00:00Z"/>
        <d v="2025-05-10T00:00:00Z"/>
        <d v="2025-05-23T00:00:00Z"/>
        <d v="2025-06-08T00:00:00Z"/>
        <d v="2025-04-15T00:00:00Z"/>
        <d v="2025-05-12T00:00:00Z"/>
        <d v="2025-04-24T00:00:00Z"/>
        <d v="2025-02-12T00:00:00Z"/>
        <d v="2025-05-16T00:00:00Z"/>
        <d v="2025-01-06T00:00:00Z"/>
        <d v="2025-01-04T00:00:00Z"/>
        <d v="2025-05-01T00:00:00Z"/>
        <d v="2025-05-06T00:00:00Z"/>
        <d v="2025-03-23T00:00:00Z"/>
        <d v="2025-03-02T00:00:00Z"/>
        <d v="2025-05-04T00:00:00Z"/>
        <d v="2025-02-20T00:00:00Z"/>
        <d v="2024-12-11T00:00:00Z"/>
        <d v="2025-05-13T00:00:00Z"/>
        <d v="2025-02-08T00:00:00Z"/>
        <d v="2025-02-14T00:00:00Z"/>
        <d v="2025-01-08T00:00:00Z"/>
        <d v="2025-04-18T00:00:00Z"/>
        <d v="2025-03-13T00:00:00Z"/>
        <d v="2024-12-17T00:00:00Z"/>
        <d v="2025-05-27T00:00:00Z"/>
        <d v="2024-12-15T00:00:00Z"/>
        <d v="2025-06-09T00:00:00Z"/>
        <d v="2025-04-29T00:00:00Z"/>
        <d v="2024-12-12T00:00:00Z"/>
        <d v="2025-04-11T00:00:00Z"/>
        <d v="2024-12-21T00:00:00Z"/>
        <d v="2025-05-19T00:00:00Z"/>
        <d v="2025-01-01T00:00:00Z"/>
        <d v="2024-12-30T00:00:00Z"/>
        <d v="2025-02-01T00:00:00Z"/>
        <d v="2025-02-19T00:00:00Z"/>
        <d v="2025-01-18T00:00:00Z"/>
        <d v="2025-05-15T00:00:00Z"/>
        <d v="2025-04-02T00:00:00Z"/>
        <d v="2025-03-17T00:00:00Z"/>
        <d v="2025-03-14T00:00:00Z"/>
        <d v="2025-01-20T00:00:00Z"/>
        <d v="2025-05-22T00:00:00Z"/>
        <d v="2024-12-26T00:00:00Z"/>
        <d v="2025-04-26T00:00:00Z"/>
        <d v="2025-02-04T00:00:00Z"/>
        <d v="2024-12-25T00:00:00Z"/>
        <d v="2025-02-07T00:00:00Z"/>
        <d v="2025-05-21T00:00:00Z"/>
        <d v="2024-12-18T00:00:00Z"/>
        <d v="2024-12-31T00:00:00Z"/>
        <d v="2025-06-04T00:00:00Z"/>
        <d v="2025-03-22T00:00:00Z"/>
        <d v="2024-12-29T00:00:00Z"/>
        <d v="2025-03-29T00:00:00Z"/>
        <d v="2025-02-26T00:00:00Z"/>
        <d v="2025-03-27T00:00:00Z"/>
        <d v="2025-01-29T00:00:00Z"/>
        <d v="2025-04-13T00:00:00Z"/>
        <d v="2025-01-31T00:00:00Z"/>
        <d v="2025-03-21T00:00:00Z"/>
        <d v="2025-05-17T00:00:00Z"/>
        <d v="2025-05-11T00:00:00Z"/>
        <d v="2025-01-07T00:00:00Z"/>
        <d v="2025-02-06T00:00:00Z"/>
        <d v="2025-03-20T00:00:00Z"/>
        <d v="2025-06-07T00:00:00Z"/>
        <d v="2025-02-11T00:00:00Z"/>
        <d v="2025-05-09T00:00:00Z"/>
        <d v="2025-02-17T00:00:00Z"/>
        <d v="2025-05-18T00:00:00Z"/>
        <d v="2025-06-03T00:00:00Z"/>
        <d v="2025-01-02T00:00:00Z"/>
        <d v="2025-01-24T00:00:00Z"/>
        <d v="2025-04-03T00:00:00Z"/>
        <d v="2025-01-13T00:00:00Z"/>
        <d v="2025-04-14T00:00:00Z"/>
        <d v="2025-01-09T00:00:00Z"/>
        <d v="2025-05-05T00:00:00Z"/>
        <d v="2025-03-12T00:00:00Z"/>
      </sharedItems>
    </cacheField>
    <cacheField name="Channel" numFmtId="0">
      <sharedItems>
        <s v="Google Ads"/>
        <s v="Facebook"/>
        <s v="Twitter"/>
        <s v="LinkedIn"/>
        <s v="Instagram"/>
      </sharedItems>
    </cacheField>
    <cacheField name="Region" numFmtId="0">
      <sharedItems>
        <s v="East"/>
        <s v="South"/>
        <s v="North"/>
        <s v="West"/>
      </sharedItems>
    </cacheField>
    <cacheField name="Budget ($)" numFmtId="0">
      <sharedItems containsSemiMixedTypes="0" containsString="0" containsNumber="1">
        <n v="5621.78"/>
        <n v="7190.61"/>
        <n v="3406.59"/>
        <n v="7956.51"/>
        <n v="8827.1"/>
        <n v="4283.83"/>
        <n v="6023.62"/>
        <n v="3976.46"/>
        <n v="6192.49"/>
        <n v="6599.64"/>
        <n v="7252.81"/>
        <n v="9642.2"/>
        <n v="5132.3"/>
        <n v="6081.07"/>
        <n v="3240.72"/>
        <n v="7637.66"/>
        <n v="6826.97"/>
        <n v="8425.93"/>
        <n v="7185.3"/>
        <n v="4371.88"/>
        <n v="5720.74"/>
        <n v="5497.27"/>
        <n v="3986.47"/>
        <n v="9908.21"/>
        <n v="3038.65"/>
        <n v="8103.05"/>
        <n v="5509.26"/>
        <n v="7363.09"/>
        <n v="5176.88"/>
        <n v="7462.9"/>
        <n v="3837.16"/>
        <n v="6928.94"/>
        <n v="6659.13"/>
        <n v="3755.24"/>
        <n v="5200.49"/>
        <n v="4745.05"/>
        <n v="4601.59"/>
        <n v="4128.55"/>
        <n v="7433.83"/>
        <n v="4305.99"/>
        <n v="8652.08"/>
        <n v="3770.36"/>
        <n v="8726.1"/>
        <n v="6575.23"/>
        <n v="3839.06"/>
        <n v="5262.42"/>
        <n v="5545.41"/>
        <n v="4762.48"/>
        <n v="4993.88"/>
        <n v="6518.75"/>
        <n v="9357.86"/>
        <n v="6426.17"/>
        <n v="7704.95"/>
        <n v="8097.51"/>
        <n v="7434.71"/>
        <n v="8847.12"/>
        <n v="3285.43"/>
        <n v="3116.11"/>
        <n v="7516.21"/>
        <n v="5707.15"/>
        <n v="5387.46"/>
        <n v="9141.38"/>
        <n v="8720.56"/>
        <n v="4692.97"/>
        <n v="9302.93"/>
        <n v="5444.47"/>
        <n v="9209.6"/>
        <n v="3588.98"/>
        <n v="7245.0"/>
        <n v="7644.51"/>
        <n v="6841.14"/>
        <n v="4569.89"/>
        <n v="5277.8"/>
        <n v="8944.56"/>
        <n v="3655.72"/>
        <n v="4707.93"/>
        <n v="9244.33"/>
        <n v="6518.46"/>
        <n v="4366.7"/>
        <n v="3170.21"/>
        <n v="9583.21"/>
        <n v="5591.11"/>
        <n v="5997.29"/>
        <n v="8971.07"/>
        <n v="8957.96"/>
        <n v="6897.61"/>
        <n v="6990.43"/>
        <n v="9930.38"/>
        <n v="9141.61"/>
        <n v="7917.39"/>
        <n v="8665.53"/>
        <n v="9392.68"/>
        <n v="8588.07"/>
        <n v="8570.55"/>
        <n v="5629.08"/>
        <n v="3251.6"/>
        <n v="5005.79"/>
        <n v="3261.44"/>
        <n v="3889.42"/>
        <n v="4510.75"/>
        <n v="3361.77"/>
        <n v="7462.01"/>
        <n v="6614.1"/>
        <n v="4895.83"/>
        <n v="3177.46"/>
        <n v="7871.82"/>
        <n v="4095.06"/>
        <n v="8002.17"/>
        <n v="9684.06"/>
        <n v="7282.05"/>
        <n v="5491.81"/>
        <n v="3812.51"/>
        <n v="8988.22"/>
        <n v="3684.84"/>
        <n v="4212.41"/>
        <n v="7310.95"/>
        <n v="5622.29"/>
        <n v="8995.43"/>
        <n v="3493.98"/>
        <n v="7100.43"/>
        <n v="5717.19"/>
        <n v="6819.32"/>
        <n v="9728.33"/>
        <n v="3485.53"/>
        <n v="3661.1"/>
        <n v="5232.83"/>
        <n v="8701.28"/>
        <n v="7877.16"/>
        <n v="8145.5"/>
        <n v="4242.08"/>
        <n v="9933.54"/>
        <n v="8434.89"/>
        <n v="9008.89"/>
        <n v="8281.8"/>
        <n v="6536.77"/>
        <n v="9268.66"/>
        <n v="9337.67"/>
        <n v="9650.43"/>
        <n v="7422.86"/>
        <n v="5300.65"/>
        <n v="8541.05"/>
        <n v="6460.94"/>
        <n v="6090.71"/>
        <n v="3819.47"/>
        <n v="7327.53"/>
        <n v="7906.78"/>
        <n v="7943.7"/>
        <n v="9906.48"/>
        <n v="8689.6"/>
        <n v="8273.65"/>
        <n v="8440.03"/>
        <n v="9344.48"/>
        <n v="3079.48"/>
        <n v="3831.73"/>
        <n v="8222.31"/>
        <n v="5624.09"/>
        <n v="4565.17"/>
        <n v="9789.15"/>
        <n v="6693.91"/>
        <n v="6876.98"/>
        <n v="7405.79"/>
        <n v="7392.91"/>
        <n v="3318.12"/>
        <n v="9231.85"/>
        <n v="4941.67"/>
        <n v="5473.47"/>
        <n v="9820.76"/>
        <n v="6752.67"/>
        <n v="7793.12"/>
        <n v="8757.76"/>
        <n v="7293.91"/>
        <n v="9062.45"/>
        <n v="5635.24"/>
        <n v="4052.92"/>
        <n v="9789.4"/>
        <n v="6280.85"/>
        <n v="3394.63"/>
        <n v="9998.02"/>
        <n v="8382.91"/>
        <n v="4731.44"/>
        <n v="9678.36"/>
        <n v="7701.9"/>
        <n v="3794.9"/>
        <n v="8406.23"/>
        <n v="6863.35"/>
        <n v="5824.38"/>
        <n v="8285.96"/>
        <n v="4490.75"/>
        <n v="5454.11"/>
        <n v="6062.32"/>
        <n v="6597.93"/>
        <n v="7354.61"/>
        <n v="4029.51"/>
        <n v="4807.71"/>
        <n v="6448.33"/>
        <n v="4681.02"/>
        <n v="3896.32"/>
        <n v="7486.12"/>
        <n v="9277.52"/>
        <n v="4206.24"/>
        <n v="4182.55"/>
        <n v="3620.92"/>
        <n v="4444.34"/>
        <n v="7832.76"/>
        <n v="7395.3"/>
        <n v="9446.11"/>
        <n v="8643.41"/>
        <n v="4465.45"/>
        <n v="7327.78"/>
        <n v="8232.3"/>
        <n v="7993.45"/>
        <n v="6724.79"/>
        <n v="6728.32"/>
        <n v="5640.99"/>
        <n v="4480.14"/>
        <n v="9233.69"/>
        <n v="8524.2"/>
        <n v="6759.75"/>
        <n v="6021.62"/>
        <n v="5541.58"/>
        <n v="5492.68"/>
        <n v="4660.59"/>
        <n v="4721.7"/>
        <n v="4995.67"/>
        <n v="3561.64"/>
        <n v="9876.65"/>
        <n v="9786.29"/>
        <n v="4805.32"/>
        <n v="9505.63"/>
        <n v="4959.85"/>
        <n v="5265.75"/>
        <n v="4696.87"/>
        <n v="5020.41"/>
        <n v="6367.98"/>
        <n v="5356.23"/>
        <n v="9929.72"/>
        <n v="4782.48"/>
        <n v="7169.47"/>
        <n v="5442.08"/>
        <n v="9755.19"/>
        <n v="9568.38"/>
        <n v="8187.84"/>
        <n v="3978.41"/>
        <n v="4145.59"/>
        <n v="7656.38"/>
        <n v="9140.4"/>
        <n v="6073.94"/>
        <n v="5109.65"/>
        <n v="4625.49"/>
        <n v="6804.87"/>
        <n v="3818.29"/>
        <n v="5344.34"/>
        <n v="7340.51"/>
        <n v="8520.18"/>
        <n v="4739.42"/>
        <n v="6989.23"/>
        <n v="5394.57"/>
        <n v="8925.17"/>
        <n v="8581.07"/>
        <n v="8055.77"/>
        <n v="7857.64"/>
        <n v="5419.87"/>
        <n v="7083.74"/>
        <n v="9630.98"/>
        <n v="6541.22"/>
        <n v="9104.87"/>
        <n v="7876.56"/>
        <n v="4067.77"/>
        <n v="5968.91"/>
        <n v="9478.98"/>
        <n v="9893.89"/>
        <n v="9445.89"/>
        <n v="7138.93"/>
        <n v="5346.38"/>
        <n v="5334.49"/>
        <n v="9438.99"/>
        <n v="8162.51"/>
        <n v="6167.08"/>
        <n v="6488.57"/>
        <n v="5536.76"/>
        <n v="3091.66"/>
        <n v="9727.49"/>
        <n v="3597.45"/>
        <n v="7167.7"/>
        <n v="4469.34"/>
        <n v="4334.81"/>
        <n v="6953.89"/>
        <n v="6173.02"/>
        <n v="5805.34"/>
        <n v="4273.5"/>
        <n v="5613.17"/>
        <n v="5861.14"/>
        <n v="8011.81"/>
        <n v="4553.81"/>
        <n v="3137.97"/>
        <n v="4249.81"/>
        <n v="3696.09"/>
        <n v="8989.88"/>
        <n v="7676.6"/>
        <n v="9274.35"/>
        <n v="4455.2"/>
        <n v="7081.29"/>
        <n v="8722.1"/>
        <n v="5657.85"/>
        <n v="7369.04"/>
        <n v="6052.89"/>
        <n v="8345.24"/>
        <n v="6412.02"/>
        <n v="5976.49"/>
        <n v="6791.44"/>
        <n v="3975.49"/>
        <n v="6679.83"/>
        <n v="3128.73"/>
        <n v="7035.62"/>
        <n v="7559.94"/>
        <n v="3076.97"/>
        <n v="9117.23"/>
        <n v="7655.26"/>
        <n v="5931.39"/>
        <n v="3328.76"/>
        <n v="3579.59"/>
        <n v="5725.07"/>
        <n v="8033.32"/>
        <n v="6332.35"/>
        <n v="8128.0"/>
        <n v="4835.85"/>
        <n v="6474.56"/>
        <n v="8396.39"/>
        <n v="8097.32"/>
        <n v="6043.79"/>
        <n v="8595.91"/>
        <n v="7131.61"/>
        <n v="9421.2"/>
        <n v="6122.04"/>
        <n v="9110.62"/>
        <n v="7611.48"/>
        <n v="4747.68"/>
        <n v="9913.68"/>
        <n v="7939.03"/>
        <n v="6975.62"/>
        <n v="7881.94"/>
        <n v="9797.41"/>
        <n v="9034.3"/>
        <n v="8802.41"/>
        <n v="4610.06"/>
        <n v="7874.02"/>
        <n v="3457.49"/>
        <n v="8535.06"/>
        <n v="9201.84"/>
        <n v="3170.81"/>
        <n v="9122.91"/>
        <n v="8591.48"/>
        <n v="8370.32"/>
        <n v="7392.54"/>
        <n v="8377.91"/>
        <n v="8163.08"/>
        <n v="5482.36"/>
        <n v="4635.25"/>
        <n v="9914.06"/>
        <n v="7757.53"/>
        <n v="8504.42"/>
        <n v="9153.83"/>
        <n v="7293.88"/>
        <n v="4621.7"/>
        <n v="7254.16"/>
        <n v="4235.7"/>
        <n v="8457.09"/>
        <n v="9783.72"/>
        <n v="9964.35"/>
        <n v="8307.67"/>
        <n v="8710.83"/>
        <n v="6758.82"/>
        <n v="3640.41"/>
        <n v="3906.6"/>
        <n v="9034.89"/>
        <n v="6856.0"/>
        <n v="5608.82"/>
        <n v="6471.13"/>
        <n v="7782.81"/>
        <n v="6466.03"/>
        <n v="8772.77"/>
        <n v="6960.12"/>
        <n v="8581.98"/>
        <n v="9071.06"/>
        <n v="7882.3"/>
        <n v="8269.02"/>
        <n v="9102.9"/>
        <n v="3902.09"/>
        <n v="4125.32"/>
        <n v="6552.27"/>
        <n v="7318.49"/>
        <n v="4818.63"/>
        <n v="8458.92"/>
        <n v="6788.87"/>
        <n v="7428.35"/>
        <n v="9560.6"/>
        <n v="5106.74"/>
        <n v="7075.19"/>
        <n v="3320.19"/>
        <n v="9782.14"/>
        <n v="8307.84"/>
        <n v="5265.27"/>
        <n v="7783.07"/>
        <n v="9979.87"/>
        <n v="4145.37"/>
        <n v="4545.39"/>
        <n v="7581.58"/>
        <n v="4057.41"/>
        <n v="5938.09"/>
        <n v="4919.51"/>
        <n v="9258.69"/>
        <n v="3217.94"/>
        <n v="9050.51"/>
        <n v="4298.68"/>
        <n v="8396.45"/>
        <n v="7383.54"/>
        <n v="9445.93"/>
        <n v="6370.66"/>
        <n v="7798.96"/>
        <n v="6441.16"/>
        <n v="4882.95"/>
        <n v="6186.54"/>
        <n v="5747.45"/>
        <n v="5041.64"/>
        <n v="8458.96"/>
        <n v="3734.51"/>
        <n v="3997.47"/>
        <n v="7917.25"/>
        <n v="5285.23"/>
        <n v="5454.39"/>
        <n v="5778.46"/>
        <n v="7826.25"/>
        <n v="4172.38"/>
        <n v="7945.33"/>
        <n v="3363.8"/>
        <n v="9096.78"/>
        <n v="5376.15"/>
        <n v="9263.72"/>
        <n v="6166.23"/>
        <n v="8121.13"/>
        <n v="4729.72"/>
        <n v="4534.5"/>
        <n v="4274.83"/>
        <n v="6487.37"/>
        <n v="4599.18"/>
        <n v="7552.28"/>
        <n v="3505.39"/>
        <n v="6238.36"/>
        <n v="8198.95"/>
        <n v="5597.27"/>
        <n v="9069.22"/>
        <n v="8076.8"/>
        <n v="9304.91"/>
        <n v="7146.45"/>
        <n v="7360.77"/>
        <n v="3920.97"/>
        <n v="4257.78"/>
        <n v="4266.84"/>
        <n v="4730.62"/>
        <n v="6603.72"/>
        <n v="4144.67"/>
        <n v="4806.93"/>
        <n v="8414.31"/>
        <n v="6176.53"/>
        <n v="4188.31"/>
        <n v="8802.18"/>
        <n v="7320.01"/>
        <n v="4173.33"/>
        <n v="7646.63"/>
        <n v="8639.69"/>
        <n v="4440.89"/>
        <n v="3399.61"/>
        <n v="3275.4"/>
        <n v="9537.13"/>
        <n v="3291.01"/>
        <n v="9755.83"/>
        <n v="7473.84"/>
        <n v="6609.17"/>
        <n v="3977.56"/>
        <n v="7932.77"/>
        <n v="9789.38"/>
        <n v="6106.25"/>
        <n v="7848.38"/>
        <n v="7782.74"/>
        <n v="9082.33"/>
        <n v="9516.64"/>
        <n v="4509.73"/>
        <n v="7558.63"/>
        <n v="9995.9"/>
        <n v="5848.36"/>
        <n v="6969.11"/>
        <n v="5828.98"/>
        <n v="8654.92"/>
        <n v="6049.08"/>
        <n v="6811.42"/>
        <n v="5565.23"/>
        <n v="5719.91"/>
        <n v="5612.76"/>
        <n v="7224.14"/>
        <n v="6244.46"/>
      </sharedItems>
    </cacheField>
    <cacheField name="Spend ($)" numFmtId="0">
      <sharedItems containsSemiMixedTypes="0" containsString="0" containsNumber="1">
        <n v="6100.84"/>
        <n v="6089.05"/>
        <n v="3610.48"/>
        <n v="6414.34"/>
        <n v="7623.98"/>
        <n v="3818.06"/>
        <n v="5345.17"/>
        <n v="3529.68"/>
        <n v="6412.65"/>
        <n v="6452.63"/>
        <n v="6173.28"/>
        <n v="10507.01"/>
        <n v="4256.22"/>
        <n v="5087.49"/>
        <n v="3476.63"/>
        <n v="6824.35"/>
        <n v="5840.17"/>
        <n v="9115.59"/>
        <n v="7735.42"/>
        <n v="3556.82"/>
        <n v="5042.29"/>
        <n v="4861.13"/>
        <n v="4148.56"/>
        <n v="10222.04"/>
        <n v="3174.29"/>
        <n v="8357.33"/>
        <n v="4598.91"/>
        <n v="6621.4"/>
        <n v="4646.53"/>
        <n v="7956.67"/>
        <n v="3890.78"/>
        <n v="7145.75"/>
        <n v="6181.42"/>
        <n v="3039.6"/>
        <n v="4953.84"/>
        <n v="4380.23"/>
        <n v="3787.54"/>
        <n v="4454.33"/>
        <n v="7890.55"/>
        <n v="4597.8"/>
        <n v="9247.58"/>
        <n v="3274.11"/>
        <n v="9234.13"/>
        <n v="6083.56"/>
        <n v="3460.09"/>
        <n v="5028.96"/>
        <n v="6053.01"/>
        <n v="4520.42"/>
        <n v="4050.37"/>
        <n v="5315.67"/>
        <n v="8158.82"/>
        <n v="7041.12"/>
        <n v="7924.43"/>
        <n v="7371.45"/>
        <n v="7142.77"/>
        <n v="7929.09"/>
        <n v="3210.75"/>
        <n v="2971.61"/>
        <n v="6406.14"/>
        <n v="6169.54"/>
        <n v="4493.37"/>
        <n v="8020.49"/>
        <n v="8428.95"/>
        <n v="3885.45"/>
        <n v="9209.25"/>
        <n v="5541.31"/>
        <n v="9522.38"/>
        <n v="3045.21"/>
        <n v="5815.99"/>
        <n v="6127.22"/>
        <n v="6892.92"/>
        <n v="4632.29"/>
        <n v="5404.19"/>
        <n v="8920.27"/>
        <n v="3327.86"/>
        <n v="5140.6"/>
        <n v="9145.8"/>
        <n v="6342.93"/>
        <n v="4439.78"/>
        <n v="3150.05"/>
        <n v="10409.08"/>
        <n v="4498.81"/>
        <n v="6537.02"/>
        <n v="7969.31"/>
        <n v="8018.06"/>
        <n v="7455.26"/>
        <n v="5796.14"/>
        <n v="8361.63"/>
        <n v="9344.83"/>
        <n v="7187.78"/>
        <n v="9038.44"/>
        <n v="8955.01"/>
        <n v="8545.04"/>
        <n v="9144.79"/>
        <n v="4661.97"/>
        <n v="3055.46"/>
        <n v="4891.91"/>
        <n v="3414.01"/>
        <n v="3720.9"/>
        <n v="4451.51"/>
        <n v="3225.3"/>
        <n v="7595.04"/>
        <n v="5932.1"/>
        <n v="4561.4"/>
        <n v="3459.6"/>
        <n v="7263.22"/>
        <n v="3583.48"/>
        <n v="7986.64"/>
        <n v="9891.0"/>
        <n v="6742.3"/>
        <n v="5642.03"/>
        <n v="3102.62"/>
        <n v="9087.97"/>
        <n v="3491.33"/>
        <n v="3918.2"/>
        <n v="7241.7"/>
        <n v="5553.46"/>
        <n v="8973.91"/>
        <n v="3468.56"/>
        <n v="7683.16"/>
        <n v="5677.09"/>
        <n v="7381.5"/>
        <n v="10424.93"/>
        <n v="2893.8"/>
        <n v="3679.05"/>
        <n v="5512.59"/>
        <n v="7696.77"/>
        <n v="7788.01"/>
        <n v="8479.83"/>
        <n v="4348.91"/>
        <n v="9176.46"/>
        <n v="7610.3"/>
        <n v="8366.54"/>
        <n v="6881.66"/>
        <n v="6850.12"/>
        <n v="8497.14"/>
        <n v="7725.86"/>
        <n v="10472.47"/>
        <n v="6936.91"/>
        <n v="5309.96"/>
        <n v="8856.09"/>
        <n v="5280.32"/>
        <n v="6494.59"/>
        <n v="3219.42"/>
        <n v="6084.32"/>
        <n v="6498.02"/>
        <n v="6548.82"/>
        <n v="9037.5"/>
        <n v="9421.04"/>
        <n v="7552.83"/>
        <n v="8165.91"/>
        <n v="7787.31"/>
        <n v="2896.55"/>
        <n v="3200.48"/>
        <n v="8016.84"/>
        <n v="4981.33"/>
        <n v="4971.32"/>
        <n v="7958.07"/>
        <n v="7349.17"/>
        <n v="7501.35"/>
        <n v="7470.4"/>
        <n v="7210.26"/>
        <n v="2934.18"/>
        <n v="8647.45"/>
        <n v="4232.23"/>
        <n v="5337.16"/>
        <n v="10762.21"/>
        <n v="6029.18"/>
        <n v="6614.68"/>
        <n v="9501.64"/>
        <n v="6750.32"/>
        <n v="7372.9"/>
        <n v="5878.49"/>
        <n v="3964.73"/>
        <n v="10304.67"/>
        <n v="5806.31"/>
        <n v="3596.33"/>
        <n v="10987.73"/>
        <n v="9082.29"/>
        <n v="4424.67"/>
        <n v="9502.72"/>
        <n v="7589.75"/>
        <n v="3800.49"/>
        <n v="8036.77"/>
        <n v="6645.65"/>
        <n v="4893.67"/>
        <n v="8170.73"/>
        <n v="3776.32"/>
        <n v="5328.53"/>
        <n v="6494.25"/>
        <n v="6829.49"/>
        <n v="7786.39"/>
        <n v="4343.72"/>
        <n v="4508.39"/>
        <n v="5794.63"/>
        <n v="3851.35"/>
        <n v="3294.61"/>
        <n v="6397.37"/>
        <n v="8741.17"/>
        <n v="3607.64"/>
        <n v="3695.61"/>
        <n v="3027.78"/>
        <n v="4041.15"/>
        <n v="6358.58"/>
        <n v="6097.63"/>
        <n v="7729.97"/>
        <n v="8854.98"/>
        <n v="4068.66"/>
        <n v="6673.22"/>
        <n v="6676.44"/>
        <n v="8541.5"/>
        <n v="5596.04"/>
        <n v="5872.08"/>
        <n v="4546.76"/>
        <n v="4024.28"/>
        <n v="9031.27"/>
        <n v="8094.01"/>
        <n v="6597.87"/>
        <n v="5047.77"/>
        <n v="5507.08"/>
        <n v="6019.73"/>
        <n v="3870.78"/>
        <n v="4004.97"/>
        <n v="4256.37"/>
        <n v="3409.75"/>
        <n v="8233.29"/>
        <n v="10370.06"/>
        <n v="4090.61"/>
        <n v="9192.22"/>
        <n v="5112.85"/>
        <n v="4884.67"/>
        <n v="3919.31"/>
        <n v="4891.74"/>
        <n v="6111.84"/>
        <n v="4500.97"/>
        <n v="8904.04"/>
        <n v="4803.77"/>
        <n v="6749.86"/>
        <n v="5871.24"/>
        <n v="8167.91"/>
        <n v="8174.94"/>
        <n v="7961.38"/>
        <n v="4131.9"/>
        <n v="3520.77"/>
        <n v="7326.54"/>
        <n v="8388.45"/>
        <n v="5546.01"/>
        <n v="5233.73"/>
        <n v="4948.68"/>
        <n v="7294.42"/>
        <n v="4131.2"/>
        <n v="4498.77"/>
        <n v="7047.17"/>
        <n v="7203.83"/>
        <n v="4849.3"/>
        <n v="7190.08"/>
        <n v="5644.76"/>
        <n v="7481.49"/>
        <n v="7250.79"/>
        <n v="8184.75"/>
        <n v="7565.47"/>
        <n v="4631.17"/>
        <n v="6518.85"/>
        <n v="8147.86"/>
        <n v="6432.87"/>
        <n v="9829.94"/>
        <n v="8481.08"/>
        <n v="3957.48"/>
        <n v="6093.86"/>
        <n v="8865.23"/>
        <n v="10405.1"/>
        <n v="10021.8"/>
        <n v="6565.68"/>
        <n v="5564.81"/>
        <n v="4904.8"/>
        <n v="8531.94"/>
        <n v="7637.38"/>
        <n v="5194.27"/>
        <n v="6006.32"/>
        <n v="5393.78"/>
        <n v="3088.76"/>
        <n v="8215.83"/>
        <n v="3953.82"/>
        <n v="5878.4"/>
        <n v="4779.58"/>
        <n v="3515.38"/>
        <n v="5700.19"/>
        <n v="5909.54"/>
        <n v="5618.94"/>
        <n v="4523.65"/>
        <n v="4946.46"/>
        <n v="4733.55"/>
        <n v="7993.2"/>
        <n v="3958.73"/>
        <n v="2608.38"/>
        <n v="4232.06"/>
        <n v="3226.51"/>
        <n v="9430.98"/>
        <n v="6613.35"/>
        <n v="7455.66"/>
        <n v="3599.62"/>
        <n v="6560.3"/>
        <n v="7872.09"/>
        <n v="5528.22"/>
        <n v="6800.32"/>
        <n v="5377.02"/>
        <n v="7026.98"/>
        <n v="6850.38"/>
        <n v="4821.48"/>
        <n v="6723.82"/>
        <n v="4176.17"/>
        <n v="5687.9"/>
        <n v="3361.16"/>
        <n v="6206.94"/>
        <n v="7929.79"/>
        <n v="2587.93"/>
        <n v="8927.81"/>
        <n v="6526.96"/>
        <n v="5426.88"/>
        <n v="2829.06"/>
        <n v="3511.38"/>
        <n v="5075.89"/>
        <n v="7142.72"/>
        <n v="6326.66"/>
        <n v="7026.51"/>
        <n v="4731.99"/>
        <n v="6338.94"/>
        <n v="6985.62"/>
        <n v="7681.5"/>
        <n v="5281.79"/>
        <n v="8668.19"/>
        <n v="6477.59"/>
        <n v="7923.66"/>
        <n v="5237.65"/>
        <n v="9289.8"/>
        <n v="7669.96"/>
        <n v="4495.23"/>
        <n v="10738.67"/>
        <n v="8554.9"/>
        <n v="7496.33"/>
        <n v="7008.66"/>
        <n v="10613.34"/>
        <n v="9516.41"/>
        <n v="7139.65"/>
        <n v="3854.79"/>
        <n v="7102.07"/>
        <n v="3093.03"/>
        <n v="7644.22"/>
        <n v="9061.59"/>
        <n v="3364.32"/>
        <n v="8745.96"/>
        <n v="9445.3"/>
        <n v="7705.54"/>
        <n v="7851.64"/>
        <n v="7752.33"/>
        <n v="7115.21"/>
        <n v="4858.31"/>
        <n v="3766.73"/>
        <n v="9203.54"/>
        <n v="6713.96"/>
        <n v="7031.65"/>
        <n v="9917.44"/>
        <n v="6200.6"/>
        <n v="5004.47"/>
        <n v="6919.07"/>
        <n v="3668.73"/>
        <n v="7653.98"/>
        <n v="10420.99"/>
        <n v="8491.31"/>
        <n v="8380.83"/>
        <n v="7555.18"/>
        <n v="6609.33"/>
        <n v="3870.62"/>
        <n v="4166.87"/>
        <n v="9422.08"/>
        <n v="5663.71"/>
        <n v="4924.13"/>
        <n v="5334.24"/>
        <n v="6404.0"/>
        <n v="6105.07"/>
        <n v="7933.59"/>
        <n v="6125.66"/>
        <n v="8560.83"/>
        <n v="9184.53"/>
        <n v="7914.16"/>
        <n v="7008.67"/>
        <n v="7362.19"/>
        <n v="3513.97"/>
        <n v="4312.57"/>
        <n v="5254.37"/>
        <n v="8009.03"/>
        <n v="4771.42"/>
        <n v="7038.62"/>
        <n v="7392.38"/>
        <n v="8019.71"/>
        <n v="9621.46"/>
        <n v="5170.33"/>
        <n v="6394.31"/>
        <n v="3524.25"/>
        <n v="10025.67"/>
        <n v="6707.55"/>
        <n v="4984.07"/>
        <n v="7267.6"/>
        <n v="9259.87"/>
        <n v="4304.73"/>
        <n v="3748.65"/>
        <n v="6686.79"/>
        <n v="3772.18"/>
        <n v="5887.96"/>
        <n v="5387.81"/>
        <n v="8045.68"/>
        <n v="3203.46"/>
        <n v="8525.25"/>
        <n v="4559.12"/>
        <n v="8845.11"/>
        <n v="6197.55"/>
        <n v="9304.19"/>
        <n v="5320.73"/>
        <n v="7245.95"/>
        <n v="5277.0"/>
        <n v="5074.69"/>
        <n v="4970.8"/>
        <n v="5425.49"/>
        <n v="5084.47"/>
        <n v="6867.71"/>
        <n v="3258.78"/>
        <n v="3796.26"/>
        <n v="7663.06"/>
        <n v="5049.05"/>
        <n v="4417.84"/>
        <n v="4852.84"/>
        <n v="8140.68"/>
        <n v="3468.79"/>
        <n v="6431.55"/>
        <n v="3237.28"/>
        <n v="9226.19"/>
        <n v="5615.11"/>
        <n v="8932.8"/>
        <n v="6123.52"/>
        <n v="6695.78"/>
        <n v="4010.16"/>
        <n v="4955.12"/>
        <n v="4432.61"/>
        <n v="6270.75"/>
        <n v="5054.04"/>
        <n v="6493.92"/>
        <n v="2836.55"/>
        <n v="6615.67"/>
        <n v="7605.74"/>
        <n v="6136.26"/>
        <n v="8829.82"/>
        <n v="7640.66"/>
        <n v="8621.15"/>
        <n v="7673.21"/>
        <n v="7283.25"/>
        <n v="3978.79"/>
        <n v="3709.65"/>
        <n v="4507.13"/>
        <n v="5020.25"/>
        <n v="5994.66"/>
        <n v="3802.01"/>
        <n v="4792.61"/>
        <n v="7061.81"/>
        <n v="5378.62"/>
        <n v="4003.74"/>
        <n v="8179.57"/>
        <n v="7408.09"/>
        <n v="3384.58"/>
        <n v="7206.1"/>
        <n v="8428.94"/>
        <n v="3701.82"/>
        <n v="3261.42"/>
        <n v="2740.31"/>
        <n v="8534.27"/>
        <n v="2779.27"/>
        <n v="7819.12"/>
        <n v="7925.08"/>
        <n v="6256.6"/>
        <n v="3217.81"/>
        <n v="6826.59"/>
        <n v="8107.27"/>
        <n v="6475.33"/>
        <n v="8252.06"/>
        <n v="7387.01"/>
        <n v="8820.6"/>
        <n v="9581.91"/>
        <n v="4499.2"/>
        <n v="6288.61"/>
        <n v="8141.3"/>
        <n v="6206.43"/>
        <n v="7119.19"/>
        <n v="5235.06"/>
        <n v="8903.19"/>
        <n v="6323.41"/>
        <n v="5460.9"/>
        <n v="5113.62"/>
        <n v="5345.87"/>
        <n v="4872.89"/>
        <n v="7227.49"/>
        <n v="5707.04"/>
      </sharedItems>
    </cacheField>
    <cacheField name="Impressions" numFmtId="0">
      <sharedItems containsSemiMixedTypes="0" containsString="0" containsNumber="1" containsInteger="1">
        <n v="120704.0"/>
        <n v="64473.0"/>
        <n v="113908.0"/>
        <n v="91921.0"/>
        <n v="191026.0"/>
        <n v="127588.0"/>
        <n v="72336.0"/>
        <n v="64153.0"/>
        <n v="53911.0"/>
        <n v="185980.0"/>
        <n v="195024.0"/>
        <n v="54909.0"/>
        <n v="69520.0"/>
        <n v="126413.0"/>
        <n v="76429.0"/>
        <n v="59367.0"/>
        <n v="186370.0"/>
        <n v="177209.0"/>
        <n v="113245.0"/>
        <n v="134800.0"/>
        <n v="128160.0"/>
        <n v="156949.0"/>
        <n v="138676.0"/>
        <n v="133918.0"/>
        <n v="116892.0"/>
        <n v="187598.0"/>
        <n v="145792.0"/>
        <n v="144942.0"/>
        <n v="81620.0"/>
        <n v="73683.0"/>
        <n v="69783.0"/>
        <n v="154773.0"/>
        <n v="69731.0"/>
        <n v="188839.0"/>
        <n v="146830.0"/>
        <n v="114426.0"/>
        <n v="78896.0"/>
        <n v="114833.0"/>
        <n v="86560.0"/>
        <n v="74753.0"/>
        <n v="177534.0"/>
        <n v="179996.0"/>
        <n v="169629.0"/>
        <n v="103534.0"/>
        <n v="157185.0"/>
        <n v="114793.0"/>
        <n v="175219.0"/>
        <n v="100064.0"/>
        <n v="61208.0"/>
        <n v="64306.0"/>
        <n v="160805.0"/>
        <n v="169372.0"/>
        <n v="77537.0"/>
        <n v="111631.0"/>
        <n v="102718.0"/>
        <n v="79647.0"/>
        <n v="155333.0"/>
        <n v="81389.0"/>
        <n v="146743.0"/>
        <n v="121778.0"/>
        <n v="145652.0"/>
        <n v="80391.0"/>
        <n v="136864.0"/>
        <n v="135649.0"/>
        <n v="75522.0"/>
        <n v="180933.0"/>
        <n v="130681.0"/>
        <n v="162389.0"/>
        <n v="94836.0"/>
        <n v="191486.0"/>
        <n v="138384.0"/>
        <n v="72528.0"/>
        <n v="173181.0"/>
        <n v="107709.0"/>
        <n v="86473.0"/>
        <n v="94803.0"/>
        <n v="55244.0"/>
        <n v="103713.0"/>
        <n v="110834.0"/>
        <n v="122735.0"/>
        <n v="188008.0"/>
        <n v="139883.0"/>
        <n v="138325.0"/>
        <n v="82264.0"/>
        <n v="88706.0"/>
        <n v="141755.0"/>
        <n v="97675.0"/>
        <n v="155967.0"/>
        <n v="154219.0"/>
        <n v="133842.0"/>
        <n v="126153.0"/>
        <n v="83386.0"/>
        <n v="137986.0"/>
        <n v="103318.0"/>
        <n v="163071.0"/>
        <n v="115973.0"/>
        <n v="58155.0"/>
        <n v="121100.0"/>
        <n v="129730.0"/>
        <n v="51577.0"/>
        <n v="147591.0"/>
        <n v="189630.0"/>
        <n v="175761.0"/>
        <n v="151629.0"/>
        <n v="120702.0"/>
        <n v="176077.0"/>
        <n v="134667.0"/>
        <n v="178492.0"/>
        <n v="145812.0"/>
        <n v="186329.0"/>
        <n v="147883.0"/>
        <n v="134164.0"/>
        <n v="127750.0"/>
        <n v="99153.0"/>
        <n v="171690.0"/>
        <n v="196304.0"/>
        <n v="184625.0"/>
        <n v="65860.0"/>
        <n v="149919.0"/>
        <n v="124319.0"/>
        <n v="149623.0"/>
        <n v="53378.0"/>
        <n v="165946.0"/>
        <n v="66013.0"/>
        <n v="163376.0"/>
        <n v="139628.0"/>
        <n v="62770.0"/>
        <n v="129840.0"/>
        <n v="81087.0"/>
        <n v="199475.0"/>
        <n v="197123.0"/>
        <n v="139183.0"/>
        <n v="144975.0"/>
        <n v="77279.0"/>
        <n v="195662.0"/>
        <n v="168167.0"/>
        <n v="163943.0"/>
        <n v="137121.0"/>
        <n v="174799.0"/>
        <n v="58780.0"/>
        <n v="198199.0"/>
        <n v="103994.0"/>
        <n v="149870.0"/>
        <n v="77061.0"/>
        <n v="70716.0"/>
        <n v="81757.0"/>
        <n v="127949.0"/>
        <n v="130404.0"/>
        <n v="162097.0"/>
        <n v="154555.0"/>
        <n v="56338.0"/>
        <n v="168488.0"/>
        <n v="70782.0"/>
        <n v="187830.0"/>
        <n v="77085.0"/>
        <n v="181387.0"/>
        <n v="161384.0"/>
        <n v="115218.0"/>
        <n v="86944.0"/>
        <n v="126890.0"/>
        <n v="119094.0"/>
        <n v="120570.0"/>
        <n v="173652.0"/>
        <n v="53244.0"/>
        <n v="197753.0"/>
        <n v="95888.0"/>
        <n v="130274.0"/>
        <n v="53089.0"/>
        <n v="110033.0"/>
        <n v="75315.0"/>
        <n v="194023.0"/>
        <n v="105156.0"/>
        <n v="136337.0"/>
        <n v="191309.0"/>
        <n v="143568.0"/>
        <n v="69711.0"/>
        <n v="114949.0"/>
        <n v="128670.0"/>
        <n v="92405.0"/>
        <n v="113689.0"/>
        <n v="72317.0"/>
        <n v="59223.0"/>
        <n v="123058.0"/>
        <n v="133482.0"/>
        <n v="130705.0"/>
        <n v="168213.0"/>
        <n v="55771.0"/>
        <n v="158774.0"/>
        <n v="167161.0"/>
        <n v="54315.0"/>
        <n v="112474.0"/>
        <n v="76227.0"/>
        <n v="85573.0"/>
        <n v="156215.0"/>
        <n v="83163.0"/>
        <n v="122395.0"/>
        <n v="148880.0"/>
        <n v="150378.0"/>
        <n v="141253.0"/>
        <n v="171015.0"/>
        <n v="127713.0"/>
        <n v="95400.0"/>
        <n v="154562.0"/>
        <n v="100148.0"/>
        <n v="109858.0"/>
        <n v="158340.0"/>
        <n v="114026.0"/>
        <n v="188606.0"/>
        <n v="137418.0"/>
        <n v="195298.0"/>
        <n v="191329.0"/>
        <n v="118663.0"/>
        <n v="55825.0"/>
        <n v="53730.0"/>
        <n v="177951.0"/>
        <n v="52910.0"/>
        <n v="57737.0"/>
        <n v="167465.0"/>
        <n v="133310.0"/>
        <n v="113210.0"/>
        <n v="186208.0"/>
        <n v="197176.0"/>
        <n v="138708.0"/>
        <n v="198805.0"/>
        <n v="89656.0"/>
        <n v="99291.0"/>
        <n v="111502.0"/>
        <n v="85109.0"/>
        <n v="92367.0"/>
        <n v="149385.0"/>
        <n v="134522.0"/>
        <n v="178747.0"/>
        <n v="73811.0"/>
        <n v="61124.0"/>
        <n v="65992.0"/>
        <n v="80479.0"/>
        <n v="65167.0"/>
        <n v="109928.0"/>
        <n v="155287.0"/>
        <n v="78740.0"/>
        <n v="158786.0"/>
        <n v="158182.0"/>
        <n v="70430.0"/>
        <n v="53472.0"/>
        <n v="65231.0"/>
        <n v="136646.0"/>
        <n v="106358.0"/>
        <n v="179651.0"/>
        <n v="87263.0"/>
        <n v="142706.0"/>
        <n v="197165.0"/>
        <n v="141042.0"/>
        <n v="103661.0"/>
        <n v="71137.0"/>
        <n v="109146.0"/>
        <n v="119284.0"/>
        <n v="192983.0"/>
        <n v="121420.0"/>
        <n v="157129.0"/>
        <n v="194986.0"/>
        <n v="75023.0"/>
        <n v="190925.0"/>
        <n v="166397.0"/>
        <n v="77672.0"/>
        <n v="127332.0"/>
        <n v="155035.0"/>
        <n v="148308.0"/>
        <n v="74611.0"/>
        <n v="196435.0"/>
        <n v="50483.0"/>
        <n v="156463.0"/>
        <n v="128263.0"/>
        <n v="52499.0"/>
        <n v="67097.0"/>
        <n v="191774.0"/>
        <n v="178702.0"/>
        <n v="70461.0"/>
        <n v="105961.0"/>
        <n v="70597.0"/>
        <n v="99708.0"/>
        <n v="170519.0"/>
        <n v="124323.0"/>
        <n v="92675.0"/>
        <n v="71769.0"/>
        <n v="61798.0"/>
        <n v="78277.0"/>
        <n v="65823.0"/>
        <n v="146175.0"/>
        <n v="102654.0"/>
        <n v="68829.0"/>
        <n v="112356.0"/>
        <n v="195477.0"/>
        <n v="161797.0"/>
        <n v="191829.0"/>
        <n v="54030.0"/>
        <n v="134964.0"/>
        <n v="99410.0"/>
        <n v="152642.0"/>
        <n v="111235.0"/>
        <n v="195593.0"/>
        <n v="191906.0"/>
        <n v="163874.0"/>
        <n v="173144.0"/>
        <n v="131078.0"/>
        <n v="171377.0"/>
        <n v="118229.0"/>
        <n v="93966.0"/>
        <n v="180247.0"/>
        <n v="80643.0"/>
        <n v="175493.0"/>
        <n v="125145.0"/>
        <n v="197509.0"/>
        <n v="158254.0"/>
        <n v="50360.0"/>
        <n v="98472.0"/>
        <n v="154581.0"/>
        <n v="68618.0"/>
        <n v="95395.0"/>
        <n v="87162.0"/>
        <n v="54764.0"/>
        <n v="141976.0"/>
        <n v="85169.0"/>
        <n v="75206.0"/>
        <n v="185576.0"/>
        <n v="156872.0"/>
        <n v="115212.0"/>
        <n v="106540.0"/>
        <n v="110667.0"/>
        <n v="76558.0"/>
        <n v="83532.0"/>
        <n v="149998.0"/>
        <n v="171861.0"/>
        <n v="111608.0"/>
        <n v="115362.0"/>
        <n v="166037.0"/>
        <n v="116079.0"/>
        <n v="67946.0"/>
        <n v="123947.0"/>
        <n v="68639.0"/>
        <n v="158533.0"/>
        <n v="74923.0"/>
        <n v="196954.0"/>
        <n v="103912.0"/>
        <n v="135367.0"/>
        <n v="154277.0"/>
        <n v="194871.0"/>
        <n v="57427.0"/>
        <n v="192331.0"/>
        <n v="66208.0"/>
        <n v="132053.0"/>
        <n v="195707.0"/>
        <n v="106946.0"/>
        <n v="170434.0"/>
        <n v="61724.0"/>
        <n v="194762.0"/>
        <n v="188259.0"/>
        <n v="99224.0"/>
        <n v="83109.0"/>
        <n v="111688.0"/>
        <n v="134861.0"/>
        <n v="176820.0"/>
        <n v="86387.0"/>
        <n v="53430.0"/>
        <n v="164936.0"/>
        <n v="152738.0"/>
        <n v="76927.0"/>
        <n v="69189.0"/>
        <n v="127993.0"/>
        <n v="124998.0"/>
        <n v="107520.0"/>
        <n v="117796.0"/>
        <n v="56417.0"/>
        <n v="133159.0"/>
        <n v="184724.0"/>
        <n v="184680.0"/>
        <n v="89044.0"/>
        <n v="146101.0"/>
        <n v="130452.0"/>
        <n v="115837.0"/>
        <n v="186219.0"/>
        <n v="165044.0"/>
        <n v="181245.0"/>
        <n v="125026.0"/>
        <n v="172320.0"/>
        <n v="169951.0"/>
        <n v="117094.0"/>
        <n v="54766.0"/>
        <n v="197025.0"/>
        <n v="119124.0"/>
        <n v="68519.0"/>
        <n v="140986.0"/>
        <n v="175888.0"/>
        <n v="187533.0"/>
        <n v="91252.0"/>
        <n v="145695.0"/>
        <n v="165271.0"/>
        <n v="69967.0"/>
        <n v="193477.0"/>
        <n v="180485.0"/>
        <n v="149220.0"/>
        <n v="128069.0"/>
        <n v="50640.0"/>
        <n v="159631.0"/>
        <n v="92070.0"/>
        <n v="138224.0"/>
        <n v="63940.0"/>
        <n v="192599.0"/>
        <n v="65526.0"/>
        <n v="149688.0"/>
        <n v="118998.0"/>
        <n v="115280.0"/>
        <n v="129278.0"/>
        <n v="113951.0"/>
        <n v="160215.0"/>
        <n v="176532.0"/>
        <n v="93893.0"/>
        <n v="70743.0"/>
        <n v="84061.0"/>
        <n v="108436.0"/>
        <n v="143676.0"/>
        <n v="76424.0"/>
        <n v="131046.0"/>
        <n v="69001.0"/>
        <n v="179928.0"/>
        <n v="151737.0"/>
        <n v="188031.0"/>
        <n v="55760.0"/>
        <n v="94851.0"/>
        <n v="134423.0"/>
        <n v="111462.0"/>
        <n v="102748.0"/>
        <n v="180765.0"/>
        <n v="143614.0"/>
        <n v="174898.0"/>
        <n v="179667.0"/>
        <n v="142353.0"/>
        <n v="161295.0"/>
        <n v="72755.0"/>
        <n v="136413.0"/>
        <n v="190122.0"/>
        <n v="84930.0"/>
        <n v="120822.0"/>
        <n v="108943.0"/>
        <n v="145244.0"/>
        <n v="174584.0"/>
        <n v="187179.0"/>
        <n v="113319.0"/>
        <n v="97411.0"/>
        <n v="172776.0"/>
        <n v="117252.0"/>
        <n v="149827.0"/>
        <n v="148415.0"/>
        <n v="96330.0"/>
        <n v="96745.0"/>
        <n v="66585.0"/>
        <n v="192117.0"/>
        <n v="194804.0"/>
        <n v="91032.0"/>
        <n v="116506.0"/>
        <n v="55887.0"/>
        <n v="111392.0"/>
        <n v="127536.0"/>
        <n v="72374.0"/>
        <n v="194426.0"/>
        <n v="63381.0"/>
        <n v="109943.0"/>
        <n v="142900.0"/>
        <n v="197974.0"/>
        <n v="102196.0"/>
        <n v="72102.0"/>
        <n v="138622.0"/>
        <n v="75127.0"/>
        <n v="65706.0"/>
        <n v="59862.0"/>
        <n v="74195.0"/>
        <n v="175747.0"/>
        <n v="150368.0"/>
        <n v="199789.0"/>
        <n v="183098.0"/>
        <n v="170452.0"/>
        <n v="118097.0"/>
        <n v="115700.0"/>
        <n v="55522.0"/>
        <n v="150531.0"/>
        <n v="103488.0"/>
        <n v="84687.0"/>
        <n v="147771.0"/>
        <n v="112643.0"/>
        <n v="99483.0"/>
        <n v="166799.0"/>
        <n v="64146.0"/>
        <n v="165901.0"/>
        <n v="52359.0"/>
        <n v="158601.0"/>
        <n v="73610.0"/>
        <n v="67169.0"/>
        <n v="152621.0"/>
        <n v="107940.0"/>
        <n v="68836.0"/>
        <n v="140338.0"/>
      </sharedItems>
    </cacheField>
    <cacheField name="Clicks" numFmtId="0">
      <sharedItems containsSemiMixedTypes="0" containsString="0" containsNumber="1" containsInteger="1">
        <n v="5511.0"/>
        <n v="1120.0"/>
        <n v="5345.0"/>
        <n v="3787.0"/>
        <n v="8786.0"/>
        <n v="5087.0"/>
        <n v="1340.0"/>
        <n v="2806.0"/>
        <n v="2127.0"/>
        <n v="5168.0"/>
        <n v="9701.0"/>
        <n v="2182.0"/>
        <n v="1141.0"/>
        <n v="3059.0"/>
        <n v="2090.0"/>
        <n v="1348.0"/>
        <n v="9073.0"/>
        <n v="2628.0"/>
        <n v="4048.0"/>
        <n v="4917.0"/>
        <n v="1491.0"/>
        <n v="1762.0"/>
        <n v="4683.0"/>
        <n v="4771.0"/>
        <n v="1613.0"/>
        <n v="7514.0"/>
        <n v="2973.0"/>
        <n v="3629.0"/>
        <n v="2259.0"/>
        <n v="2886.0"/>
        <n v="2350.0"/>
        <n v="2872.0"/>
        <n v="7836.0"/>
        <n v="6778.0"/>
        <n v="4726.0"/>
        <n v="1812.0"/>
        <n v="5099.0"/>
        <n v="3682.0"/>
        <n v="1230.0"/>
        <n v="2754.0"/>
        <n v="8814.0"/>
        <n v="5933.0"/>
        <n v="3406.0"/>
        <n v="1409.0"/>
        <n v="4639.0"/>
        <n v="4802.0"/>
        <n v="1424.0"/>
        <n v="3037.0"/>
        <n v="2956.0"/>
        <n v="1964.0"/>
        <n v="2478.0"/>
        <n v="3060.0"/>
        <n v="2469.0"/>
        <n v="2206.0"/>
        <n v="2287.0"/>
        <n v="2501.0"/>
        <n v="3140.0"/>
        <n v="3193.0"/>
        <n v="2381.0"/>
        <n v="3086.0"/>
        <n v="1900.0"/>
        <n v="3696.0"/>
        <n v="5567.0"/>
        <n v="1938.0"/>
        <n v="2435.0"/>
        <n v="5935.0"/>
        <n v="4500.0"/>
        <n v="3956.0"/>
        <n v="4445.0"/>
        <n v="3042.0"/>
        <n v="1306.0"/>
        <n v="6365.0"/>
        <n v="2586.0"/>
        <n v="2750.0"/>
        <n v="2004.0"/>
        <n v="2028.0"/>
        <n v="2193.0"/>
        <n v="4636.0"/>
        <n v="2941.0"/>
        <n v="8592.0"/>
        <n v="4226.0"/>
        <n v="4027.0"/>
        <n v="3537.0"/>
        <n v="1251.0"/>
        <n v="1695.0"/>
        <n v="4253.0"/>
        <n v="1655.0"/>
        <n v="2086.0"/>
        <n v="1394.0"/>
        <n v="6045.0"/>
        <n v="1255.0"/>
        <n v="6053.0"/>
        <n v="2013.0"/>
        <n v="2665.0"/>
        <n v="4194.0"/>
        <n v="2713.0"/>
        <n v="4154.0"/>
        <n v="3017.0"/>
        <n v="1434.0"/>
        <n v="4755.0"/>
        <n v="2389.0"/>
        <n v="4515.0"/>
        <n v="4739.0"/>
        <n v="2467.0"/>
        <n v="2054.0"/>
        <n v="4062.0"/>
        <n v="2018.0"/>
        <n v="2588.0"/>
        <n v="2426.0"/>
        <n v="1463.0"/>
        <n v="3192.0"/>
        <n v="5551.0"/>
        <n v="2036.0"/>
        <n v="1892.0"/>
        <n v="8710.0"/>
        <n v="5858.0"/>
        <n v="1196.0"/>
        <n v="5922.0"/>
        <n v="3473.0"/>
        <n v="2483.0"/>
        <n v="2137.0"/>
        <n v="4099.0"/>
        <n v="1830.0"/>
        <n v="7011.0"/>
        <n v="1738.0"/>
        <n v="1245.0"/>
        <n v="5797.0"/>
        <n v="3895.0"/>
        <n v="6783.0"/>
        <n v="3693.0"/>
        <n v="5327.0"/>
        <n v="7116.0"/>
        <n v="3326.0"/>
        <n v="9052.0"/>
        <n v="4467.0"/>
        <n v="2848.0"/>
        <n v="1770.0"/>
        <n v="5339.0"/>
        <n v="1712.0"/>
        <n v="5993.0"/>
        <n v="4644.0"/>
        <n v="2505.0"/>
        <n v="1539.0"/>
        <n v="2637.0"/>
        <n v="1390.0"/>
        <n v="2073.0"/>
        <n v="3053.0"/>
        <n v="7152.0"/>
        <n v="7368.0"/>
        <n v="2066.0"/>
        <n v="6718.0"/>
        <n v="3197.0"/>
        <n v="5038.0"/>
        <n v="2592.0"/>
        <n v="7602.0"/>
        <n v="4375.0"/>
        <n v="1614.0"/>
        <n v="1292.0"/>
        <n v="3074.0"/>
        <n v="5829.0"/>
        <n v="1495.0"/>
        <n v="3397.0"/>
        <n v="1838.0"/>
        <n v="3883.0"/>
        <n v="2400.0"/>
        <n v="3999.0"/>
        <n v="1998.0"/>
        <n v="3132.0"/>
        <n v="1121.0"/>
        <n v="9171.0"/>
        <n v="3813.0"/>
        <n v="3490.0"/>
        <n v="5182.0"/>
        <n v="6593.0"/>
        <n v="1173.0"/>
        <n v="3456.0"/>
        <n v="4786.0"/>
        <n v="3028.0"/>
        <n v="4258.0"/>
        <n v="1429.0"/>
        <n v="1286.0"/>
        <n v="4679.0"/>
        <n v="2397.0"/>
        <n v="4818.0"/>
        <n v="2627.0"/>
        <n v="1773.0"/>
        <n v="5263.0"/>
        <n v="1156.0"/>
        <n v="1126.0"/>
        <n v="3364.0"/>
        <n v="1887.0"/>
        <n v="6524.0"/>
        <n v="2401.0"/>
        <n v="3701.0"/>
        <n v="1344.0"/>
        <n v="1516.0"/>
        <n v="2934.0"/>
        <n v="7567.0"/>
        <n v="1869.0"/>
        <n v="1371.0"/>
        <n v="4028.0"/>
        <n v="1610.0"/>
        <n v="3804.0"/>
        <n v="2273.0"/>
        <n v="4773.0"/>
        <n v="1714.0"/>
        <n v="4255.0"/>
        <n v="3830.0"/>
        <n v="5806.0"/>
        <n v="2481.0"/>
        <n v="2436.0"/>
        <n v="2251.0"/>
        <n v="3898.0"/>
        <n v="1772.0"/>
        <n v="1530.0"/>
        <n v="5881.0"/>
        <n v="4783.0"/>
        <n v="1277.0"/>
        <n v="1504.0"/>
        <n v="7746.0"/>
        <n v="3409.0"/>
        <n v="7934.0"/>
        <n v="1499.0"/>
        <n v="1323.0"/>
        <n v="5082.0"/>
        <n v="1336.0"/>
        <n v="1602.0"/>
        <n v="1524.0"/>
        <n v="2228.0"/>
        <n v="7649.0"/>
        <n v="3452.0"/>
        <n v="2912.0"/>
        <n v="3184.0"/>
        <n v="3812.0"/>
        <n v="3118.0"/>
        <n v="2600.0"/>
        <n v="6156.0"/>
        <n v="2383.0"/>
        <n v="2402.0"/>
        <n v="3562.0"/>
        <n v="1779.0"/>
        <n v="2231.0"/>
        <n v="2540.0"/>
        <n v="1150.0"/>
        <n v="4479.0"/>
        <n v="3752.0"/>
        <n v="4101.0"/>
        <n v="8105.0"/>
        <n v="2816.0"/>
        <n v="3336.0"/>
        <n v="2638.0"/>
        <n v="3124.0"/>
        <n v="1389.0"/>
        <n v="4396.0"/>
        <n v="2619.0"/>
        <n v="6144.0"/>
        <n v="2202.0"/>
        <n v="2918.0"/>
        <n v="4618.0"/>
        <n v="1945.0"/>
        <n v="2185.0"/>
        <n v="4365.0"/>
        <n v="4402.0"/>
        <n v="5069.0"/>
        <n v="2423.0"/>
        <n v="5991.0"/>
        <n v="1111.0"/>
        <n v="3470.0"/>
        <n v="5531.0"/>
        <n v="1190.0"/>
        <n v="6884.0"/>
        <n v="4580.0"/>
        <n v="2962.0"/>
        <n v="4343.0"/>
        <n v="2706.0"/>
        <n v="4677.0"/>
        <n v="7134.0"/>
        <n v="2448.0"/>
        <n v="1207.0"/>
        <n v="3290.0"/>
        <n v="1170.0"/>
        <n v="1049.0"/>
        <n v="1946.0"/>
        <n v="4465.0"/>
        <n v="1090.0"/>
        <n v="4894.0"/>
        <n v="3560.0"/>
        <n v="6944.0"/>
        <n v="3686.0"/>
        <n v="2101.0"/>
        <n v="2504.0"/>
        <n v="4795.0"/>
        <n v="2474.0"/>
        <n v="4808.0"/>
        <n v="5136.0"/>
        <n v="3380.0"/>
        <n v="4357.0"/>
        <n v="7537.0"/>
        <n v="4550.0"/>
        <n v="4129.0"/>
        <n v="1135.0"/>
        <n v="2601.0"/>
        <n v="6040.0"/>
        <n v="2915.0"/>
        <n v="7200.0"/>
        <n v="8448.0"/>
        <n v="1254.0"/>
        <n v="1689.0"/>
        <n v="4803.0"/>
        <n v="6093.0"/>
        <n v="3036.0"/>
        <n v="4443.0"/>
        <n v="1775.0"/>
        <n v="1698.0"/>
        <n v="6294.0"/>
        <n v="1081.0"/>
        <n v="8158.0"/>
        <n v="6177.0"/>
        <n v="2331.0"/>
        <n v="3157.0"/>
        <n v="2560.0"/>
        <n v="2247.0"/>
        <n v="3585.0"/>
        <n v="5998.0"/>
        <n v="2743.0"/>
        <n v="4858.0"/>
        <n v="1929.0"/>
        <n v="3243.0"/>
        <n v="1270.0"/>
        <n v="4068.0"/>
        <n v="3348.0"/>
        <n v="6076.0"/>
        <n v="3598.0"/>
        <n v="4588.0"/>
        <n v="1528.0"/>
        <n v="1109.0"/>
        <n v="3322.0"/>
        <n v="7907.0"/>
        <n v="1092.0"/>
        <n v="2108.0"/>
        <n v="2170.0"/>
        <n v="4867.0"/>
        <n v="8454.0"/>
        <n v="4278.0"/>
        <n v="6373.0"/>
        <n v="1074.0"/>
        <n v="1009.0"/>
        <n v="3527.0"/>
        <n v="3662.0"/>
        <n v="3984.0"/>
        <n v="3399.0"/>
        <n v="1932.0"/>
        <n v="2059.0"/>
        <n v="2126.0"/>
        <n v="4651.0"/>
        <n v="4601.0"/>
        <n v="1398.0"/>
        <n v="1438.0"/>
        <n v="3954.0"/>
        <n v="5305.0"/>
        <n v="2015.0"/>
        <n v="2121.0"/>
        <n v="6315.0"/>
        <n v="5850.0"/>
        <n v="7103.0"/>
        <n v="2861.0"/>
        <n v="1999.0"/>
        <n v="4881.0"/>
        <n v="5035.0"/>
        <n v="6823.0"/>
        <n v="3343.0"/>
        <n v="4787.0"/>
        <n v="4106.0"/>
        <n v="5189.0"/>
        <n v="5839.0"/>
        <n v="1370.0"/>
        <n v="2723.0"/>
        <n v="6420.0"/>
        <n v="3940.0"/>
        <n v="3190.0"/>
        <n v="2922.0"/>
        <n v="8565.0"/>
        <n v="7387.0"/>
        <n v="1758.0"/>
        <n v="2785.0"/>
        <n v="1422.0"/>
        <n v="8585.0"/>
        <n v="1392.0"/>
        <n v="5688.0"/>
        <n v="2283.0"/>
        <n v="1609.0"/>
        <n v="5836.0"/>
        <n v="2984.0"/>
        <n v="4150.0"/>
        <n v="2107.0"/>
        <n v="7700.0"/>
        <n v="2744.0"/>
        <n v="5146.0"/>
        <n v="1453.0"/>
        <n v="3264.0"/>
        <n v="5246.0"/>
        <n v="4911.0"/>
        <n v="4360.0"/>
        <n v="2317.0"/>
        <n v="1210.0"/>
        <n v="3545.0"/>
        <n v="6117.0"/>
        <n v="1044.0"/>
        <n v="6398.0"/>
        <n v="2029.0"/>
        <n v="5522.0"/>
        <n v="6324.0"/>
        <n v="2257.0"/>
        <n v="2026.0"/>
        <n v="2639.0"/>
        <n v="2548.0"/>
        <n v="5187.0"/>
        <n v="1293.0"/>
        <n v="5270.0"/>
        <n v="4002.0"/>
        <n v="7877.0"/>
        <n v="3625.0"/>
        <n v="4745.0"/>
        <n v="7131.0"/>
        <n v="3434.0"/>
        <n v="2084.0"/>
        <n v="1915.0"/>
        <n v="1992.0"/>
        <n v="3924.0"/>
        <n v="7015.0"/>
        <n v="5659.0"/>
        <n v="9269.0"/>
        <n v="2346.0"/>
        <n v="2282.0"/>
        <n v="7965.0"/>
        <n v="4476.0"/>
        <n v="5041.0"/>
        <n v="5679.0"/>
        <n v="1282.0"/>
        <n v="3235.0"/>
        <n v="4361.0"/>
        <n v="8803.0"/>
        <n v="3308.0"/>
        <n v="4331.0"/>
        <n v="1060.0"/>
        <n v="4309.0"/>
        <n v="1590.0"/>
        <n v="1961.0"/>
        <n v="2729.0"/>
        <n v="1826.0"/>
        <n v="4843.0"/>
        <n v="3707.0"/>
        <n v="4290.0"/>
        <n v="2351.0"/>
        <n v="4757.0"/>
        <n v="3158.0"/>
        <n v="3012.0"/>
        <n v="2333.0"/>
        <n v="2526.0"/>
        <n v="7548.0"/>
        <n v="2680.0"/>
        <n v="2837.0"/>
        <n v="3716.0"/>
        <n v="8283.0"/>
        <n v="1117.0"/>
        <n v="2582.0"/>
        <n v="2245.0"/>
        <n v="3586.0"/>
        <n v="2459.0"/>
        <n v="2681.0"/>
        <n v="5682.0"/>
        <n v="4673.0"/>
        <n v="4587.0"/>
        <n v="6009.0"/>
        <n v="2927.0"/>
        <n v="3604.0"/>
        <n v="1523.0"/>
        <n v="7199.0"/>
        <n v="1577.0"/>
        <n v="2741.0"/>
        <n v="3169.0"/>
        <n v="5296.0"/>
      </sharedItems>
    </cacheField>
    <cacheField name="Conversions" numFmtId="0">
      <sharedItems containsSemiMixedTypes="0" containsString="0" containsNumber="1" containsInteger="1">
        <n v="1050.0"/>
        <n v="72.0"/>
        <n v="1004.0"/>
        <n v="329.0"/>
        <n v="423.0"/>
        <n v="842.0"/>
        <n v="236.0"/>
        <n v="283.0"/>
        <n v="315.0"/>
        <n v="68.0"/>
        <n v="801.0"/>
        <n v="153.0"/>
        <n v="134.0"/>
        <n v="58.0"/>
        <n v="69.0"/>
        <n v="152.0"/>
        <n v="1366.0"/>
        <n v="342.0"/>
        <n v="620.0"/>
        <n v="128.0"/>
        <n v="279.0"/>
        <n v="304.0"/>
        <n v="91.0"/>
        <n v="266.0"/>
        <n v="73.0"/>
        <n v="1465.0"/>
        <n v="495.0"/>
        <n v="222.0"/>
        <n v="513.0"/>
        <n v="324.0"/>
        <n v="227.0"/>
        <n v="389.0"/>
        <n v="455.0"/>
        <n v="1477.0"/>
        <n v="787.0"/>
        <n v="77.0"/>
        <n v="219.0"/>
        <n v="70.0"/>
        <n v="609.0"/>
        <n v="234.0"/>
        <n v="206.0"/>
        <n v="1350.0"/>
        <n v="149.0"/>
        <n v="97.0"/>
        <n v="463.0"/>
        <n v="292.0"/>
        <n v="261.0"/>
        <n v="504.0"/>
        <n v="50.0"/>
        <n v="323.0"/>
        <n v="264.0"/>
        <n v="221.0"/>
        <n v="139.0"/>
        <n v="311.0"/>
        <n v="402.0"/>
        <n v="392.0"/>
        <n v="385.0"/>
        <n v="316.0"/>
        <n v="536.0"/>
        <n v="189.0"/>
        <n v="599.0"/>
        <n v="914.0"/>
        <n v="231.0"/>
        <n v="256.0"/>
        <n v="667.0"/>
        <n v="742.0"/>
        <n v="181.0"/>
        <n v="80.0"/>
        <n v="651.0"/>
        <n v="314.0"/>
        <n v="491.0"/>
        <n v="320.0"/>
        <n v="165.0"/>
        <n v="797.0"/>
        <n v="274.0"/>
        <n v="835.0"/>
        <n v="453.0"/>
        <n v="673.0"/>
        <n v="146.0"/>
        <n v="122.0"/>
        <n v="420.0"/>
        <n v="74.0"/>
        <n v="249.0"/>
        <n v="197.0"/>
        <n v="748.0"/>
        <n v="90.0"/>
        <n v="403.0"/>
        <n v="366.0"/>
        <n v="76.0"/>
        <n v="712.0"/>
        <n v="425.0"/>
        <n v="154.0"/>
        <n v="277.0"/>
        <n v="268.0"/>
        <n v="649.0"/>
        <n v="583.0"/>
        <n v="288.0"/>
        <n v="556.0"/>
        <n v="340.0"/>
        <n v="475.0"/>
        <n v="163.0"/>
        <n v="339.0"/>
        <n v="393.0"/>
        <n v="382.0"/>
        <n v="232.0"/>
        <n v="965.0"/>
        <n v="179.0"/>
        <n v="210.0"/>
        <n v="705.0"/>
        <n v="410.0"/>
        <n v="151.0"/>
        <n v="275.0"/>
        <n v="514.0"/>
        <n v="81.0"/>
        <n v="480.0"/>
        <n v="258.0"/>
        <n v="271.0"/>
        <n v="212.0"/>
        <n v="119.0"/>
        <n v="377.0"/>
        <n v="63.0"/>
        <n v="543.0"/>
        <n v="92.0"/>
        <n v="1087.0"/>
        <n v="871.0"/>
        <n v="244.0"/>
        <n v="111.0"/>
        <n v="160.0"/>
        <n v="159.0"/>
        <n v="1126.0"/>
        <n v="692.0"/>
        <n v="157.0"/>
        <n v="131.0"/>
        <n v="540.0"/>
        <n v="56.0"/>
        <n v="460.0"/>
        <n v="1490.0"/>
        <n v="117.0"/>
        <n v="62.0"/>
        <n v="250.0"/>
        <n v="614.0"/>
        <n v="550.0"/>
        <n v="104.0"/>
        <n v="273.0"/>
        <n v="619.0"/>
        <n v="83.0"/>
        <n v="204.0"/>
        <n v="85.0"/>
        <n v="1138.0"/>
        <n v="632.0"/>
        <n v="132.0"/>
        <n v="356.0"/>
        <n v="869.0"/>
        <n v="209.0"/>
        <n v="294.0"/>
        <n v="820.0"/>
        <n v="100.0"/>
        <n v="233.0"/>
        <n v="186.0"/>
        <n v="177.0"/>
        <n v="180.0"/>
        <n v="171.0"/>
        <n v="641.0"/>
        <n v="421.0"/>
        <n v="269.0"/>
        <n v="357.0"/>
        <n v="1110.0"/>
        <n v="349.0"/>
        <n v="112.0"/>
        <n v="713.0"/>
        <n v="434.0"/>
        <n v="185.0"/>
        <n v="194.0"/>
        <n v="107.0"/>
        <n v="454.0"/>
        <n v="397.0"/>
        <n v="144.0"/>
        <n v="253.0"/>
        <n v="184.0"/>
        <n v="286.0"/>
        <n v="966.0"/>
        <n v="857.0"/>
        <n v="208.0"/>
        <n v="512.0"/>
        <n v="272.0"/>
        <n v="818.0"/>
        <n v="94.0"/>
        <n v="252.0"/>
        <n v="166.0"/>
        <n v="60.0"/>
        <n v="235.0"/>
        <n v="224.0"/>
        <n v="312.0"/>
        <n v="427.0"/>
        <n v="343.0"/>
        <n v="192.0"/>
        <n v="885.0"/>
        <n v="240.0"/>
        <n v="554.0"/>
        <n v="127.0"/>
        <n v="352.0"/>
        <n v="494.0"/>
        <n v="118.0"/>
        <n v="887.0"/>
        <n v="526.0"/>
        <n v="124.0"/>
        <n v="230.0"/>
        <n v="394.0"/>
        <n v="400.0"/>
        <n v="211.0"/>
        <n v="677.0"/>
        <n v="426.0"/>
        <n v="364.0"/>
        <n v="193.0"/>
        <n v="376.0"/>
        <n v="646.0"/>
        <n v="390.0"/>
        <n v="354.0"/>
        <n v="805.0"/>
        <n v="102.0"/>
        <n v="947.0"/>
        <n v="108.0"/>
        <n v="582.0"/>
        <n v="285.0"/>
        <n v="302.0"/>
        <n v="558.0"/>
        <n v="330.0"/>
        <n v="700.0"/>
        <n v="1220.0"/>
        <n v="214.0"/>
        <n v="133.0"/>
        <n v="54.0"/>
        <n v="114.0"/>
        <n v="140.0"/>
        <n v="500.0"/>
        <n v="191.0"/>
        <n v="396.0"/>
        <n v="217.0"/>
        <n v="226.0"/>
        <n v="293.0"/>
        <n v="370.0"/>
        <n v="798.0"/>
        <n v="137.0"/>
        <n v="1161.0"/>
        <n v="1020.0"/>
        <n v="337.0"/>
        <n v="476.0"/>
        <n v="669.0"/>
        <n v="110.0"/>
        <n v="308.0"/>
        <n v="196.0"/>
        <n v="353.0"/>
        <n v="84.0"/>
        <n v="278.0"/>
        <n v="66.0"/>
        <n v="182.0"/>
        <n v="162.0"/>
        <n v="381.0"/>
        <n v="459.0"/>
        <n v="409.0"/>
        <n v="478.0"/>
        <n v="629.0"/>
        <n v="78.0"/>
        <n v="347.0"/>
        <n v="205.0"/>
        <n v="369.0"/>
        <n v="657.0"/>
        <n v="148.0"/>
        <n v="784.0"/>
        <n v="199.0"/>
        <n v="345.0"/>
        <n v="371.0"/>
        <n v="533.0"/>
        <n v="129.0"/>
        <n v="764.0"/>
        <n v="64.0"/>
        <n v="67.0"/>
        <n v="241.0"/>
        <n v="105.0"/>
        <n v="611.0"/>
        <n v="1051.0"/>
        <n v="213.0"/>
        <n v="1233.0"/>
        <n v="633.0"/>
        <n v="262.0"/>
        <n v="79.0"/>
        <n v="864.0"/>
        <n v="407.0"/>
        <n v="448.0"/>
        <n v="615.0"/>
        <n v="468.0"/>
        <n v="470.0"/>
        <n v="987.0"/>
        <n v="466.0"/>
        <n v="727.0"/>
        <n v="282.0"/>
        <n v="610.0"/>
        <n v="925.0"/>
        <n v="270.0"/>
        <n v="591.0"/>
        <n v="531.0"/>
        <n v="321.0"/>
        <n v="861.0"/>
        <n v="1117.0"/>
        <n v="447.0"/>
        <n v="106.0"/>
        <n v="281.0"/>
        <n v="346.0"/>
        <n v="623.0"/>
        <n v="734.0"/>
        <n v="156.0"/>
        <n v="52.0"/>
        <n v="461.0"/>
        <n v="1049.0"/>
        <n v="900.0"/>
        <n v="1140.0"/>
        <n v="398.0"/>
        <n v="363.0"/>
        <n v="280.0"/>
        <n v="362.0"/>
        <n v="806.0"/>
        <n v="555.0"/>
        <n v="635.0"/>
        <n v="303.0"/>
        <n v="687.0"/>
        <n v="225.0"/>
        <n v="391.0"/>
        <n v="101.0"/>
        <n v="1058.0"/>
        <n v="150.0"/>
        <n v="98.0"/>
        <n v="1231.0"/>
        <n v="202.0"/>
        <n v="82.0"/>
        <n v="147.0"/>
        <n v="579.0"/>
        <n v="675.0"/>
        <n v="1026.0"/>
        <n v="75.0"/>
        <n v="387.0"/>
        <n v="622.0"/>
        <n v="416.0"/>
        <n v="699.0"/>
        <n v="506.0"/>
        <n v="332.0"/>
        <n v="300.0"/>
        <n v="431.0"/>
        <n v="135.0"/>
        <n v="503.0"/>
        <n v="170.0"/>
        <n v="305.0"/>
      </sharedItems>
    </cacheField>
    <cacheField name="Revenue ($)" numFmtId="0">
      <sharedItems containsSemiMixedTypes="0" containsString="0" containsNumber="1">
        <n v="44057.81"/>
        <n v="1776.95"/>
        <n v="38185.58"/>
        <n v="16153.01"/>
        <n v="10767.36"/>
        <n v="30095.35"/>
        <n v="9051.92"/>
        <n v="8770.41"/>
        <n v="8186.92"/>
        <n v="1454.76"/>
        <n v="17583.19"/>
        <n v="6770.54"/>
        <n v="5430.62"/>
        <n v="2021.61"/>
        <n v="1915.67"/>
        <n v="5411.51"/>
        <n v="67053.58"/>
        <n v="16020.93"/>
        <n v="14045.96"/>
        <n v="3809.27"/>
        <n v="12516.53"/>
        <n v="11029.39"/>
        <n v="2023.52"/>
        <n v="6905.75"/>
        <n v="3008.02"/>
        <n v="32554.26"/>
        <n v="22717.09"/>
        <n v="4863.3"/>
        <n v="21488.64"/>
        <n v="11069.93"/>
        <n v="9720.95"/>
        <n v="13542.59"/>
        <n v="9446.97"/>
        <n v="57739.35"/>
        <n v="37167.64"/>
        <n v="3285.32"/>
        <n v="6283.67"/>
        <n v="3097.05"/>
        <n v="26863.09"/>
        <n v="8466.18"/>
        <n v="6085.26"/>
        <n v="44297.87"/>
        <n v="3011.08"/>
        <n v="5839.25"/>
        <n v="4683.87"/>
        <n v="19024.93"/>
        <n v="14271.04"/>
        <n v="7575.88"/>
        <n v="19296.61"/>
        <n v="1417.97"/>
        <n v="7864.03"/>
        <n v="7197.08"/>
        <n v="5995.54"/>
        <n v="5416.72"/>
        <n v="3451.72"/>
        <n v="7960.22"/>
        <n v="16211.43"/>
        <n v="10503.59"/>
        <n v="15680.33"/>
        <n v="7623.7"/>
        <n v="25589.07"/>
        <n v="7522.11"/>
        <n v="21497.82"/>
        <n v="42881.66"/>
        <n v="6969.48"/>
        <n v="12009.81"/>
        <n v="26187.05"/>
        <n v="34841.82"/>
        <n v="4170.99"/>
        <n v="1985.94"/>
        <n v="12777.5"/>
        <n v="3769.33"/>
        <n v="25707.33"/>
        <n v="11633.47"/>
        <n v="13726.43"/>
        <n v="10173.74"/>
        <n v="14030.19"/>
        <n v="5737.96"/>
        <n v="22653.27"/>
        <n v="6935.85"/>
        <n v="7828.58"/>
        <n v="39954.38"/>
        <n v="22155.6"/>
        <n v="21235.12"/>
        <n v="3662.38"/>
        <n v="4987.47"/>
        <n v="16149.09"/>
        <n v="2630.69"/>
        <n v="10186.71"/>
        <n v="5675.13"/>
        <n v="34417.1"/>
        <n v="3154.09"/>
        <n v="16546.78"/>
        <n v="2411.19"/>
        <n v="2987.87"/>
        <n v="13278.24"/>
        <n v="1589.54"/>
        <n v="21933.67"/>
        <n v="18317.42"/>
        <n v="3474.31"/>
        <n v="10032.68"/>
        <n v="13205.85"/>
        <n v="28462.28"/>
        <n v="13032.2"/>
        <n v="12982.87"/>
        <n v="10129.93"/>
        <n v="20281.1"/>
        <n v="10933.24"/>
        <n v="12454.41"/>
        <n v="13030.17"/>
        <n v="3330.38"/>
        <n v="7194.21"/>
        <n v="13450.51"/>
        <n v="13065.99"/>
        <n v="7413.59"/>
        <n v="20611.55"/>
        <n v="6281.84"/>
        <n v="5226.49"/>
        <n v="14660.71"/>
        <n v="18445.79"/>
        <n v="15625.13"/>
        <n v="12949.06"/>
        <n v="3906.93"/>
        <n v="5650.33"/>
        <n v="11377.73"/>
        <n v="1676.55"/>
        <n v="5862.69"/>
        <n v="22235.6"/>
        <n v="6574.5"/>
        <n v="11404.9"/>
        <n v="8444.51"/>
        <n v="10159.62"/>
        <n v="5060.61"/>
        <n v="9886.08"/>
        <n v="11159.76"/>
        <n v="1280.48"/>
        <n v="15854.56"/>
        <n v="10082.05"/>
        <n v="15636.4"/>
        <n v="3916.55"/>
        <n v="24714.23"/>
        <n v="31779.19"/>
        <n v="13828.94"/>
        <n v="10454.26"/>
        <n v="2500.08"/>
        <n v="7144.93"/>
        <n v="4035.58"/>
        <n v="4947.96"/>
        <n v="55827.12"/>
        <n v="15573.47"/>
        <n v="5138.09"/>
        <n v="4556.02"/>
        <n v="11712.11"/>
        <n v="2210.67"/>
        <n v="22477.98"/>
        <n v="68626.38"/>
        <n v="2382.66"/>
        <n v="2897.53"/>
        <n v="5553.47"/>
        <n v="21915.46"/>
        <n v="18499.93"/>
        <n v="4891.61"/>
        <n v="15960.56"/>
        <n v="10538.89"/>
        <n v="20990.88"/>
        <n v="4220.76"/>
        <n v="3398.42"/>
        <n v="9060.43"/>
        <n v="4022.86"/>
        <n v="3550.58"/>
        <n v="54603.35"/>
        <n v="13139.92"/>
        <n v="6549.61"/>
        <n v="11187.91"/>
        <n v="39235.23"/>
        <n v="5894.26"/>
        <n v="13049.79"/>
        <n v="30063.62"/>
        <n v="16194.23"/>
        <n v="2387.48"/>
        <n v="4216.91"/>
        <n v="7163.56"/>
        <n v="6623.32"/>
        <n v="2278.27"/>
        <n v="7361.64"/>
        <n v="3338.16"/>
        <n v="7278.66"/>
        <n v="5476.94"/>
        <n v="2700.22"/>
        <n v="5480.58"/>
        <n v="1977.57"/>
        <n v="24436.75"/>
        <n v="5944.56"/>
        <n v="31666.03"/>
        <n v="6435.33"/>
        <n v="10047.75"/>
        <n v="5630.4"/>
        <n v="8169.53"/>
        <n v="14289.54"/>
        <n v="23560.92"/>
        <n v="8833.3"/>
        <n v="8455.84"/>
        <n v="8775.63"/>
        <n v="4926.02"/>
        <n v="32945.85"/>
        <n v="12284.95"/>
        <n v="4724.09"/>
        <n v="6699.92"/>
        <n v="3624.74"/>
        <n v="9374.86"/>
        <n v="16049.05"/>
        <n v="13268.68"/>
        <n v="4043.13"/>
        <n v="7504.58"/>
        <n v="6676.78"/>
        <n v="7428.64"/>
        <n v="6465.78"/>
        <n v="40922.84"/>
        <n v="24435.88"/>
        <n v="7721.66"/>
        <n v="3511.94"/>
        <n v="12587.92"/>
        <n v="6962.39"/>
        <n v="38366.62"/>
        <n v="3037.32"/>
        <n v="8047.79"/>
        <n v="6632.31"/>
        <n v="6129.07"/>
        <n v="6166.63"/>
        <n v="1536.68"/>
        <n v="14197.01"/>
        <n v="9004.87"/>
        <n v="5517.32"/>
        <n v="6725.07"/>
        <n v="6811.29"/>
        <n v="18914.49"/>
        <n v="14682.74"/>
        <n v="6212.2"/>
        <n v="39752.95"/>
        <n v="14254.85"/>
        <n v="5278.77"/>
        <n v="25071.19"/>
        <n v="1979.71"/>
        <n v="5643.53"/>
        <n v="10829.25"/>
        <n v="21982.0"/>
        <n v="3997.89"/>
        <n v="31117.39"/>
        <n v="16577.8"/>
        <n v="4802.17"/>
        <n v="33744.35"/>
        <n v="10078.77"/>
        <n v="18445.81"/>
        <n v="1761.1"/>
        <n v="8402.39"/>
        <n v="9769.93"/>
        <n v="15786.93"/>
        <n v="3319.54"/>
        <n v="11449.83"/>
        <n v="14281.33"/>
        <n v="5317.92"/>
        <n v="6804.51"/>
        <n v="7991.0"/>
        <n v="14132.67"/>
        <n v="13270.98"/>
        <n v="14412.06"/>
        <n v="16363.21"/>
        <n v="13523.31"/>
        <n v="38664.96"/>
        <n v="2433.3"/>
        <n v="2421.47"/>
        <n v="33680.19"/>
        <n v="2337.43"/>
        <n v="5195.85"/>
        <n v="21022.93"/>
        <n v="8666.45"/>
        <n v="8074.92"/>
        <n v="14112.72"/>
        <n v="15656.97"/>
        <n v="27277.55"/>
        <n v="30916.12"/>
        <n v="6941.89"/>
        <n v="4663.76"/>
        <n v="2294.94"/>
        <n v="2981.58"/>
        <n v="7652.29"/>
        <n v="3158.41"/>
        <n v="4651.2"/>
        <n v="12328.6"/>
        <n v="5999.55"/>
        <n v="7510.12"/>
        <n v="2912.78"/>
        <n v="8241.9"/>
        <n v="8714.02"/>
        <n v="9943.43"/>
        <n v="7953.63"/>
        <n v="4166.8"/>
        <n v="9319.33"/>
        <n v="10653.94"/>
        <n v="18007.07"/>
        <n v="13026.85"/>
        <n v="6408.88"/>
        <n v="32255.72"/>
        <n v="3196.78"/>
        <n v="16562.32"/>
        <n v="7219.59"/>
        <n v="14921.51"/>
        <n v="44875.57"/>
        <n v="9456.33"/>
        <n v="13202.64"/>
        <n v="4507.42"/>
        <n v="18845.21"/>
        <n v="2588.58"/>
        <n v="11280.6"/>
        <n v="6155.27"/>
        <n v="11092.13"/>
        <n v="7451.04"/>
        <n v="16743.62"/>
        <n v="2987.67"/>
        <n v="11715.2"/>
        <n v="8509.11"/>
        <n v="2024.23"/>
        <n v="6732.57"/>
        <n v="7792.99"/>
        <n v="7976.42"/>
        <n v="4222.38"/>
        <n v="13782.54"/>
        <n v="9101.94"/>
        <n v="11179.32"/>
        <n v="21305.93"/>
        <n v="17715.38"/>
        <n v="1774.3"/>
        <n v="16831.97"/>
        <n v="5402.3"/>
        <n v="12154.13"/>
        <n v="9322.55"/>
        <n v="2929.99"/>
        <n v="8473.12"/>
        <n v="6989.75"/>
        <n v="10046.79"/>
        <n v="17613.07"/>
        <n v="22486.76"/>
        <n v="4376.81"/>
        <n v="6895.63"/>
        <n v="6201.79"/>
        <n v="32726.51"/>
        <n v="7200.76"/>
        <n v="8143.12"/>
        <n v="9311.13"/>
        <n v="3343.37"/>
        <n v="17871.82"/>
        <n v="4547.68"/>
        <n v="18333.21"/>
        <n v="6636.02"/>
        <n v="4210.65"/>
        <n v="9931.86"/>
        <n v="6731.19"/>
        <n v="15689.67"/>
        <n v="7377.97"/>
        <n v="6741.34"/>
        <n v="2081.76"/>
        <n v="2279.48"/>
        <n v="19744.82"/>
        <n v="9122.05"/>
        <n v="6568.5"/>
        <n v="6167.95"/>
        <n v="2282.2"/>
        <n v="29225.7"/>
        <n v="33513.51"/>
        <n v="9083.63"/>
        <n v="6251.2"/>
        <n v="7966.75"/>
        <n v="34484.55"/>
        <n v="30807.82"/>
        <n v="4124.35"/>
        <n v="8450.44"/>
        <n v="3294.51"/>
        <n v="22987.15"/>
        <n v="18533.24"/>
        <n v="19868.19"/>
        <n v="18072.54"/>
        <n v="28510.72"/>
        <n v="21302.17"/>
        <n v="21201.89"/>
        <n v="38057.08"/>
        <n v="9006.67"/>
        <n v="20864.92"/>
        <n v="10703.23"/>
        <n v="32688.85"/>
        <n v="8068.34"/>
        <n v="13205.54"/>
        <n v="22081.73"/>
        <n v="39618.52"/>
        <n v="8169.16"/>
        <n v="1915.25"/>
        <n v="14344.86"/>
        <n v="3369.14"/>
        <n v="22828.83"/>
        <n v="13678.9"/>
        <n v="12692.27"/>
        <n v="5579.2"/>
        <n v="13839.02"/>
        <n v="24287.78"/>
        <n v="12376.85"/>
        <n v="9468.03"/>
        <n v="14226.07"/>
        <n v="54203.44"/>
        <n v="21593.89"/>
        <n v="16347.05"/>
        <n v="3421.68"/>
        <n v="7416.47"/>
        <n v="10745.3"/>
        <n v="30555.54"/>
        <n v="31780.66"/>
        <n v="6681.59"/>
        <n v="4362.96"/>
        <n v="2282.6"/>
        <n v="4204.74"/>
        <n v="2107.28"/>
        <n v="17268.66"/>
        <n v="2667.29"/>
        <n v="23259.9"/>
        <n v="12160.2"/>
        <n v="41223.3"/>
        <n v="39233.34"/>
        <n v="19740.75"/>
        <n v="6899.5"/>
        <n v="8036.08"/>
        <n v="8216.87"/>
        <n v="6260.06"/>
        <n v="2221.57"/>
        <n v="13340.31"/>
        <n v="14151.63"/>
        <n v="38757.61"/>
        <n v="14734.04"/>
        <n v="24448.77"/>
        <n v="2778.03"/>
        <n v="2582.1"/>
        <n v="22727.97"/>
        <n v="7895.42"/>
        <n v="13984.51"/>
        <n v="8339.6"/>
        <n v="27315.97"/>
        <n v="25901.88"/>
        <n v="4481.19"/>
        <n v="43922.24"/>
        <n v="6239.36"/>
        <n v="16349.69"/>
        <n v="3068.18"/>
        <n v="9774.71"/>
        <n v="3448.48"/>
        <n v="48882.45"/>
        <n v="4245.73"/>
        <n v="10580.59"/>
        <n v="26917.76"/>
        <n v="4632.56"/>
        <n v="60493.62"/>
        <n v="11473.55"/>
        <n v="4069.82"/>
        <n v="7633.28"/>
        <n v="4024.75"/>
        <n v="8123.31"/>
        <n v="5007.65"/>
        <n v="3264.12"/>
        <n v="6955.43"/>
        <n v="15900.17"/>
        <n v="3776.7"/>
        <n v="28412.14"/>
        <n v="17722.12"/>
        <n v="7321.65"/>
        <n v="17670.18"/>
        <n v="29820.87"/>
        <n v="15943.84"/>
        <n v="9579.04"/>
        <n v="19442.77"/>
        <n v="49816.77"/>
        <n v="2523.16"/>
        <n v="15482.29"/>
        <n v="4473.4"/>
        <n v="14875.1"/>
        <n v="4741.01"/>
        <n v="3721.23"/>
        <n v="8942.61"/>
        <n v="23969.03"/>
        <n v="8699.23"/>
        <n v="18052.34"/>
        <n v="22239.34"/>
        <n v="20106.09"/>
        <n v="12328.81"/>
        <n v="14432.56"/>
        <n v="13906.64"/>
        <n v="17251.98"/>
        <n v="5931.15"/>
        <n v="11873.95"/>
        <n v="5055.39"/>
        <n v="12463.52"/>
        <n v="9358.58"/>
        <n v="3329.38"/>
        <n v="23922.52"/>
        <n v="13494.6"/>
      </sharedItems>
    </cacheField>
    <cacheField name="CTR" numFmtId="0">
      <sharedItems containsSemiMixedTypes="0" containsString="0" containsNumber="1">
        <n v="0.04565714475079533"/>
        <n v="0.017371612923239185"/>
        <n v="0.04692383326895389"/>
        <n v="0.041198420382719945"/>
        <n v="0.04599373907216819"/>
        <n v="0.03987052073862746"/>
        <n v="0.018524662685246628"/>
        <n v="0.043739186008448554"/>
        <n v="0.03945391478547977"/>
        <n v="0.027787934186471665"/>
        <n v="0.049742595783083106"/>
        <n v="0.03973847638820594"/>
        <n v="0.01641254315304948"/>
        <n v="0.0241984606013622"/>
        <n v="0.02734564105248008"/>
        <n v="0.02270621725874644"/>
        <n v="0.048682727906851964"/>
        <n v="0.014829946560276284"/>
        <n v="0.03574550752792618"/>
        <n v="0.036476261127596436"/>
        <n v="0.011633895131086142"/>
        <n v="0.011226576786089749"/>
        <n v="0.03376936167757939"/>
        <n v="0.035626278767604054"/>
        <n v="0.013799062382370051"/>
        <n v="0.04005373191611851"/>
        <n v="0.020392065408252853"/>
        <n v="0.03802210539388169"/>
        <n v="0.04446214163195295"/>
        <n v="0.03065836081592769"/>
        <n v="0.041356777438631184"/>
        <n v="0.015183526842537135"/>
        <n v="0.04118684659620542"/>
        <n v="0.04149566561991962"/>
        <n v="0.04616222842743309"/>
        <n v="0.04130180203799836"/>
        <n v="0.022966943824781993"/>
        <n v="0.04440361220206735"/>
        <n v="0.0425369685767098"/>
        <n v="0.016454189129533264"/>
        <n v="0.015512521545168812"/>
        <n v="0.04896775483899642"/>
        <n v="0.034976330698170716"/>
        <n v="0.03289740568315722"/>
        <n v="0.00896395966536247"/>
        <n v="0.040411871804029866"/>
        <n v="0.027405703719345503"/>
        <n v="0.014230892228973457"/>
        <n v="0.04961769703306757"/>
        <n v="0.045967716853792806"/>
        <n v="0.012213550573676192"/>
        <n v="0.014630517440899321"/>
        <n v="0.0394650295987722"/>
        <n v="0.02211751216060055"/>
        <n v="0.02147627484958819"/>
        <n v="0.02871420141373812"/>
        <n v="0.016100892920371073"/>
        <n v="0.03858015210900736"/>
        <n v="0.02175912990738911"/>
        <n v="0.019551971620489744"/>
        <n v="0.02118748798506028"/>
        <n v="0.023634486447487904"/>
        <n v="0.027004909983633387"/>
        <n v="0.0410397422760212"/>
        <n v="0.02566139667911337"/>
        <n v="0.013458020372181969"/>
        <n v="0.04541593651716776"/>
        <n v="0.027711236598538077"/>
        <n v="0.04171411700198237"/>
        <n v="0.0232131852981419"/>
        <n v="0.021982310093652445"/>
        <n v="0.01800683873814251"/>
        <n v="0.03675345447826263"/>
        <n v="0.024009135726819487"/>
        <n v="0.03180183409850473"/>
        <n v="0.021138571564191008"/>
        <n v="0.03670986894504381"/>
        <n v="0.021144890225911893"/>
        <n v="0.04182831982965516"/>
        <n v="0.023962194972909114"/>
        <n v="0.045700182970937406"/>
        <n v="0.030210962018258115"/>
        <n v="0.02911259714440629"/>
        <n v="0.04299572109306623"/>
        <n v="0.014102766441954321"/>
        <n v="0.011957250185178653"/>
        <n v="0.04354235986690556"/>
        <n v="0.010611219039925112"/>
        <n v="0.013526219207750018"/>
        <n v="0.010415265761121322"/>
        <n v="0.04791800432807781"/>
        <n v="0.015050488091526155"/>
        <n v="0.04386676909251663"/>
        <n v="0.01948353626667183"/>
        <n v="0.01634257470672284"/>
        <n v="0.03616358980107439"/>
        <n v="0.04665119078325165"/>
        <n v="0.03430222956234517"/>
        <n v="0.023255993216680797"/>
        <n v="0.027803090524846346"/>
        <n v="0.0322174116307905"/>
        <n v="0.012598217581606286"/>
        <n v="0.025688292624643692"/>
        <n v="0.031253915807662125"/>
        <n v="0.020438766549021558"/>
        <n v="0.01166535095441199"/>
        <n v="0.030163291675020607"/>
        <n v="0.01130582883266477"/>
        <n v="0.01774888212218473"/>
        <n v="0.013019980786673036"/>
        <n v="0.009892955917853979"/>
        <n v="0.02379177722787037"/>
        <n v="0.04345205479452055"/>
        <n v="0.020533922322067914"/>
        <n v="0.011019861378065118"/>
        <n v="0.04436995680169533"/>
        <n v="0.0317291807718348"/>
        <n v="0.01815973276647434"/>
        <n v="0.03950133071858804"/>
        <n v="0.027936196397976173"/>
        <n v="0.016595042206077944"/>
        <n v="0.04003522050282888"/>
        <n v="0.024700806286382316"/>
        <n v="0.0277218123702907"/>
        <n v="0.04291327979629811"/>
        <n v="0.012447360128341021"/>
        <n v="0.019834315755934362"/>
        <n v="0.044647258163894026"/>
        <n v="0.04803482679097759"/>
        <n v="0.034004261185612235"/>
        <n v="0.018734495720945807"/>
        <n v="0.03827335234906562"/>
        <n v="0.04908432488360062"/>
        <n v="0.04303885919848859"/>
        <n v="0.046263454324293934"/>
        <n v="0.02656288094572657"/>
        <n v="0.01737189145007716"/>
        <n v="0.012908307261469796"/>
        <n v="0.03054365299572652"/>
        <n v="0.029125552909152773"/>
        <n v="0.030237286767339895"/>
        <n v="0.04465642248591265"/>
        <n v="0.0167144858877694"/>
        <n v="0.019971191653365517"/>
        <n v="0.03729000509078568"/>
        <n v="0.017001602309282386"/>
        <n v="0.016201767891894425"/>
        <n v="0.023411858531946873"/>
        <n v="0.04412172958167023"/>
        <n v="0.047672349648992265"/>
        <n v="0.03667151833575917"/>
        <n v="0.03987227577038127"/>
        <n v="0.045166850329179734"/>
        <n v="0.026822126390885374"/>
        <n v="0.03362521891418564"/>
        <n v="0.041910390491049526"/>
        <n v="0.0271092549447281"/>
        <n v="0.01400822788106025"/>
        <n v="0.01486013986013986"/>
        <n v="0.02422570730554023"/>
        <n v="0.04894453121064034"/>
        <n v="0.012399436012275026"/>
        <n v="0.019562112731209544"/>
        <n v="0.03452032153857712"/>
        <n v="0.019635606033789627"/>
        <n v="0.025029200734189887"/>
        <n v="0.030696838970170563"/>
        <n v="0.037634914954133625"/>
        <n v="0.028464188016322375"/>
        <n v="0.014884153223129522"/>
        <n v="0.04726759198651706"/>
        <n v="0.03626041310053635"/>
        <n v="0.025598333541151704"/>
        <n v="0.027087068564469"/>
        <n v="0.04592248969129611"/>
        <n v="0.016826612729698327"/>
        <n v="0.030065507311938338"/>
        <n v="0.037195927566643354"/>
        <n v="0.03276878956766409"/>
        <n v="0.03745305174643105"/>
        <n v="0.019760222354356514"/>
        <n v="0.021714536582071155"/>
        <n v="0.03802272099335273"/>
        <n v="0.017957477412684858"/>
        <n v="0.03686163497953406"/>
        <n v="0.015617104504408102"/>
        <n v="0.03179071560488426"/>
        <n v="0.03314774459294343"/>
        <n v="0.006915488660632563"/>
        <n v="0.02073092147657185"/>
        <n v="0.029909134555541724"/>
        <n v="0.04013013761528068"/>
        <n v="0.022051347971907026"/>
        <n v="0.041762954901898026"/>
        <n v="0.02887101234924185"/>
        <n v="0.030238163323665183"/>
        <n v="0.009027404621171414"/>
        <n v="0.010081261886712153"/>
        <n v="0.0207712402568441"/>
        <n v="0.044247580621582905"/>
        <n v="0.014634375513847454"/>
        <n v="0.014371069182389937"/>
        <n v="0.026060739379666412"/>
        <n v="0.01607620721332428"/>
        <n v="0.03462651786852118"/>
        <n v="0.014355185044840218"/>
        <n v="0.04185887429182818"/>
        <n v="0.009087727855953682"/>
        <n v="0.03096392030156166"/>
        <n v="0.019611055924791856"/>
        <n v="0.03034563500567086"/>
        <n v="0.02090794940293099"/>
        <n v="0.04363636363636364"/>
        <n v="0.04189465847757305"/>
        <n v="0.021904906406819854"/>
        <n v="0.03349083349083349"/>
        <n v="0.026499471742556766"/>
        <n v="0.03511778580598931"/>
        <n v="0.0358787787862876"/>
        <n v="0.011279922268350853"/>
        <n v="0.00807698917339749"/>
        <n v="0.0392846999634844"/>
        <n v="0.02457680883582778"/>
        <n v="0.039908453006715125"/>
        <n v="0.01671946105112876"/>
        <n v="0.013324470495815331"/>
        <n v="0.045577657799860095"/>
        <n v="0.015697517301342983"/>
        <n v="0.017343856572152393"/>
        <n v="0.010201827492720153"/>
        <n v="0.01656234667935356"/>
        <n v="0.04279232658450212"/>
        <n v="0.04676809689612659"/>
        <n v="0.04764086120018323"/>
        <n v="0.048248272517880955"/>
        <n v="0.04736639371761578"/>
        <n v="0.04784630257645741"/>
        <n v="0.023651844843897825"/>
        <n v="0.039642726049186346"/>
        <n v="0.030264160528321055"/>
        <n v="0.015127278223520965"/>
        <n v="0.02251836492141963"/>
        <n v="0.028908135737611813"/>
        <n v="0.0332697486535009"/>
        <n v="0.03420152994741764"/>
        <n v="0.018588176748679068"/>
        <n v="0.010812538784106509"/>
        <n v="0.024931673077244212"/>
        <n v="0.04299645898032385"/>
        <n v="0.028737404173615685"/>
        <n v="0.04110770167118911"/>
        <n v="0.019965683980658244"/>
        <n v="0.03218182344372522"/>
        <n v="0.03708337433403152"/>
        <n v="0.02862221244937973"/>
        <n v="0.011644478723047517"/>
        <n v="0.022779208531321413"/>
        <n v="0.021569757865261076"/>
        <n v="0.03910162987099772"/>
        <n v="0.011293118480301149"/>
        <n v="0.038894738946723004"/>
        <n v="0.024187508183841824"/>
        <n v="0.011688912660684989"/>
        <n v="0.02813111545988258"/>
        <n v="0.03428046366977665"/>
        <n v="0.028393588544522206"/>
        <n v="0.03417887099819295"/>
        <n v="0.032475104207154444"/>
        <n v="0.03049863822638532"/>
        <n v="0.02200740843452251"/>
        <n v="0.022177767267660724"/>
        <n v="0.04312233457817141"/>
        <n v="0.022667098420922304"/>
        <n v="0.024039822942903556"/>
        <n v="0.03589641974407375"/>
        <n v="0.02562925988517196"/>
        <n v="0.04203743915073587"/>
        <n v="0.04098677815422656"/>
        <n v="0.0383302406617845"/>
        <n v="0.04690696834757492"/>
        <n v="0.04183698004327963"/>
        <n v="0.0196906445307787"/>
        <n v="0.013024008632317237"/>
        <n v="0.045841519318926"/>
        <n v="0.018932651542121103"/>
        <n v="0.015279073035502126"/>
        <n v="0.015936678668550506"/>
        <n v="0.013312809988028048"/>
        <n v="0.0434956260837376"/>
        <n v="0.01583634805096689"/>
        <n v="0.04355797643205525"/>
        <n v="0.018211861241987547"/>
        <n v="0.0429179774655896"/>
        <n v="0.019215030052807447"/>
        <n v="0.038885804182861375"/>
        <n v="0.0185530956403189"/>
        <n v="0.04823458404587064"/>
        <n v="0.01620785891170189"/>
        <n v="0.04322380545691554"/>
        <n v="0.026258608436907253"/>
        <n v="0.01761278959490584"/>
        <n v="0.02658750015255623"/>
        <n v="0.043530240724483665"/>
        <n v="0.034712156120783044"/>
        <n v="0.024093081335301702"/>
        <n v="0.009600013533058725"/>
        <n v="0.02768022476214801"/>
        <n v="0.033509572974862276"/>
        <n v="0.0361469687387622"/>
        <n v="0.04102727744126546"/>
        <n v="0.009069479403891486"/>
        <n v="0.04277273440703968"/>
        <n v="0.007923970326184488"/>
        <n v="0.033538522637013506"/>
        <n v="0.04877528637582257"/>
        <n v="0.03941622838511848"/>
        <n v="0.0442449503045848"/>
        <n v="0.046574768069605324"/>
        <n v="0.02036437897248801"/>
        <n v="0.031005770214009205"/>
        <n v="0.0443314362990928"/>
        <n v="0.017893834611184822"/>
        <n v="0.014373853150014626"/>
        <n v="0.043960425917144455"/>
        <n v="0.039376051812943035"/>
        <n v="0.02023226747213832"/>
        <n v="0.029632063074901446"/>
        <n v="0.023132460444396253"/>
        <n v="0.029350296507223282"/>
        <n v="0.042917684240770006"/>
        <n v="0.039987199829331056"/>
        <n v="0.015960572788474407"/>
        <n v="0.04352734570998495"/>
        <n v="0.021220159151193633"/>
        <n v="0.01161789239747767"/>
        <n v="0.027937869898948132"/>
        <n v="0.01869131369028346"/>
        <n v="0.03282047972117114"/>
        <n v="0.04877693439589738"/>
        <n v="0.03832640522793362"/>
        <n v="0.04802263657354884"/>
        <n v="0.023294779491657952"/>
        <n v="0.014704750173223497"/>
        <n v="0.008192543234318556"/>
        <n v="0.021532697680146748"/>
        <n v="0.04057556024241678"/>
        <n v="0.019015445696275272"/>
        <n v="0.010960271615080253"/>
        <n v="0.03277549540840986"/>
        <n v="0.03685641371267597"/>
        <n v="0.04319722850996643"/>
        <n v="0.04000149608213491"/>
        <n v="0.03739277374232841"/>
        <n v="0.01740003888276845"/>
        <n v="0.005180682063236155"/>
        <n v="0.018734828082588348"/>
        <n v="0.03690639361444812"/>
        <n v="0.04793704652925676"/>
        <n v="0.018023422390946207"/>
        <n v="0.02520372828319529"/>
        <n v="0.010926365795724466"/>
        <n v="0.023834604743769316"/>
        <n v="0.03979037993636534"/>
        <n v="0.028198816510646554"/>
        <n v="0.030123479422278672"/>
        <n v="0.01817307317326816"/>
        <n v="0.020783650580294556"/>
        <n v="0.030892314423445033"/>
        <n v="0.042440679050864814"/>
        <n v="0.024190848214285715"/>
        <n v="0.01710584400149411"/>
        <n v="0.03759505113706861"/>
        <n v="0.04742450754361328"/>
        <n v="0.03166886814923887"/>
        <n v="0.038461121940654104"/>
        <n v="0.032130182830959975"/>
        <n v="0.013682315658345939"/>
        <n v="0.037416061079937446"/>
        <n v="0.04346624998920898"/>
        <n v="0.03663965545943217"/>
        <n v="0.02025520467269334"/>
        <n v="0.026411763083119533"/>
        <n v="0.03284116903684034"/>
        <n v="0.030112581244196843"/>
        <n v="0.034356961712493604"/>
        <n v="0.011700001708029446"/>
        <n v="0.0497206295877004"/>
        <n v="0.03258469737342977"/>
        <n v="0.03307477922165139"/>
        <n v="0.046556429603467654"/>
        <n v="0.020725462102620117"/>
        <n v="0.048695760938779226"/>
        <n v="0.039390400622823715"/>
        <n v="0.019265331170823654"/>
        <n v="0.019115275060914923"/>
        <n v="0.020995818988207248"/>
        <n v="0.020323866965855333"/>
        <n v="0.04437219927950092"/>
        <n v="0.007712552289663961"/>
        <n v="0.03811821471652593"/>
        <n v="0.01782632799506516"/>
        <n v="0.031773301737756714"/>
        <n v="0.03655931492003433"/>
        <n v="0.03241012273270338"/>
        <n v="0.03002372959833314"/>
        <n v="0.032952768220206444"/>
        <n v="0.039979439145582274"/>
        <n v="0.04187650703537527"/>
        <n v="0.034378173267062155"/>
        <n v="0.0122102892485588"/>
        <n v="0.028313671061762666"/>
        <n v="0.04057921688144928"/>
        <n v="0.04309747172030083"/>
        <n v="0.027213431950816092"/>
        <n v="0.013125099132168671"/>
        <n v="0.033442322643860566"/>
        <n v="0.01710416578318703"/>
        <n v="0.018308133379331674"/>
        <n v="0.03269209487624036"/>
        <n v="0.04257496032740332"/>
        <n v="0.013660630168533444"/>
        <n v="0.04882255086000336"/>
        <n v="0.029405370936653092"/>
        <n v="0.030690053799297498"/>
        <n v="0.04167737598608118"/>
        <n v="0.012003339874807877"/>
        <n v="0.03633428981348637"/>
        <n v="0.027822584896311058"/>
        <n v="0.01895508953080946"/>
        <n v="0.046536039188243526"/>
        <n v="0.012584186553509557"/>
        <n v="0.02915387381406799"/>
        <n v="0.027866364003509406"/>
        <n v="0.04503767910439228"/>
        <n v="0.020176214886428782"/>
        <n v="0.03333263085428477"/>
        <n v="0.044210917883381384"/>
        <n v="0.029826128788399422"/>
        <n v="0.025173553840176523"/>
        <n v="0.010961382691114126"/>
        <n v="0.022547980689979985"/>
        <n v="0.016487063614242438"/>
        <n v="0.03601883553785007"/>
        <n v="0.04829803640770015"/>
        <n v="0.03241419603170966"/>
        <n v="0.04951944395471714"/>
        <n v="0.02070261827231091"/>
        <n v="0.023426512406196424"/>
        <n v="0.04610015279899986"/>
        <n v="0.0381741889264149"/>
        <n v="0.03364547111001355"/>
        <n v="0.03826432638210423"/>
        <n v="0.013308418976435171"/>
        <n v="0.029830999018037107"/>
        <n v="0.04858451603213937"/>
        <n v="0.022699709031475612"/>
        <n v="0.04518901049259769"/>
        <n v="0.03633886984796555"/>
        <n v="0.037174051121830635"/>
        <n v="0.01896684380983055"/>
        <n v="0.038683208848032176"/>
        <n v="0.01246706812194204"/>
        <n v="0.02709536573907757"/>
        <n v="0.01403618857560203"/>
        <n v="0.02880989571007084"/>
        <n v="0.044050098687501704"/>
        <n v="0.025941217634709586"/>
        <n v="0.02324042551042056"/>
        <n v="0.04197815961485772"/>
        <n v="0.03260658511553077"/>
        <n v="0.03431634228333165"/>
        <n v="0.04203548657606453"/>
        <n v="0.04584056250570724"/>
        <n v="0.03897297116701747"/>
        <n v="0.034045420850461625"/>
        <n v="0.04294810153231634"/>
        <n v="0.017822941051287507"/>
        <n v="0.01419998097993383"/>
        <n v="0.02029514249199882"/>
        <n v="0.048594325675263415"/>
        <n v="0.009458326629804314"/>
        <n v="0.022316335350043216"/>
        <n v="0.04043442239112424"/>
        <n v="0.023822335598647455"/>
        <n v="0.02376120902906617"/>
        <n v="0.031657751484879613"/>
        <n v="0.0384513876200337"/>
        <n v="0.04148504567527499"/>
        <n v="0.046108380326286905"/>
        <n v="0.03602539583570645"/>
        <n v="0.04563028092164749"/>
        <n v="0.021723799133218005"/>
        <n v="0.02908764491300445"/>
        <n v="0.04539063435917806"/>
        <n v="0.03187066974595843"/>
        <n v="0.023478092572466466"/>
        <n v="0.017959520642637644"/>
        <n v="0.027005743931813972"/>
        <n v="0.04603695740600849"/>
        <n v="0.03773746241217632"/>
      </sharedItems>
    </cacheField>
    <cacheField name="CPC" numFmtId="0">
      <sharedItems containsSemiMixedTypes="0" containsString="0" containsNumber="1">
        <n v="1.107029577209218"/>
        <n v="5.436651785714286"/>
        <n v="0.6754873713751169"/>
        <n v="1.6937787166622658"/>
        <n v="0.8677418620532665"/>
        <n v="0.7505523884411244"/>
        <n v="3.9889328358208958"/>
        <n v="1.2579044903777619"/>
        <n v="3.0148801128349785"/>
        <n v="1.2485739164086687"/>
        <n v="0.6363550149469127"/>
        <n v="4.815311640696609"/>
        <n v="3.7302541630148993"/>
        <n v="1.663121935272965"/>
        <n v="1.6634593301435407"/>
        <n v="5.0625741839762615"/>
        <n v="0.6436867629229582"/>
        <n v="3.4686415525114156"/>
        <n v="1.9109239130434783"/>
        <n v="0.7233719747813708"/>
        <n v="3.381817572099262"/>
        <n v="2.7588706015891034"/>
        <n v="0.8858765748451848"/>
        <n v="2.1425361559421505"/>
        <n v="1.9679417234965901"/>
        <n v="1.112234495608198"/>
        <n v="1.5468920282542886"/>
        <n v="1.2014879332244601"/>
        <n v="1.2803885367869936"/>
        <n v="3.5222089420097387"/>
        <n v="1.3481566181566182"/>
        <n v="3.0407446808510636"/>
        <n v="2.1523050139275766"/>
        <n v="0.38790199081163856"/>
        <n v="0.7308704632634996"/>
        <n v="0.926836648328396"/>
        <n v="2.0902538631346577"/>
        <n v="0.8735693273190822"/>
        <n v="2.1430065181966325"/>
        <n v="3.738048780487805"/>
        <n v="3.3578721859114014"/>
        <n v="0.37146698434309056"/>
        <n v="1.5564014832293949"/>
        <n v="1.786130358191427"/>
        <n v="2.455706174591909"/>
        <n v="1.0840612200905368"/>
        <n v="1.26051853394419"/>
        <n v="3.1744522471910113"/>
        <n v="1.3336746789594995"/>
        <n v="1.7982645466847091"/>
        <n v="4.154185336048879"/>
        <n v="2.8414527845036317"/>
        <n v="2.5896830065359477"/>
        <n v="2.985601458080194"/>
        <n v="3.2378830462375343"/>
        <n v="3.4670266724967207"/>
        <n v="1.2837864854058376"/>
        <n v="0.9463726114649682"/>
        <n v="2.0063075477607266"/>
        <n v="2.591154976900462"/>
        <n v="1.456049902786779"/>
        <n v="4.221310526315789"/>
        <n v="2.2805600649350652"/>
        <n v="0.6979432369319202"/>
        <n v="4.7519349845201235"/>
        <n v="2.2756919917864478"/>
        <n v="1.6044448188711036"/>
        <n v="0.6767133333333334"/>
        <n v="1.470169362992922"/>
        <n v="1.3784521934758156"/>
        <n v="2.2659171597633136"/>
        <n v="3.5469295558958653"/>
        <n v="0.8490479183032207"/>
        <n v="3.449447022428461"/>
        <n v="1.2101309090909091"/>
        <n v="2.565169660678643"/>
        <n v="4.509763313609467"/>
        <n v="2.892352941176471"/>
        <n v="0.9576747195858498"/>
        <n v="1.0710812648758927"/>
        <n v="1.2114851024208566"/>
        <n v="1.0645551348793185"/>
        <n v="1.6232977402532904"/>
        <n v="2.2531269437376307"/>
        <n v="6.409320543565149"/>
        <n v="4.3983834808259585"/>
        <n v="1.3628356454267576"/>
        <n v="5.052344410876133"/>
        <n v="4.479784276126558"/>
        <n v="5.15622668579627"/>
        <n v="1.4951927212572376"/>
        <n v="7.135466135458167"/>
        <n v="1.4117032876259707"/>
        <n v="4.542866368604074"/>
        <n v="1.7493320825515948"/>
        <n v="0.7285312350977587"/>
        <n v="1.803136748986362"/>
        <n v="0.8218608570052962"/>
        <n v="1.2333112363274776"/>
        <n v="3.1042608089260812"/>
        <n v="0.6782965299684542"/>
        <n v="3.1791712013394724"/>
        <n v="1.3138648947951275"/>
        <n v="0.9625237391854821"/>
        <n v="1.402351033644102"/>
        <n v="3.5361343719571567"/>
        <n v="0.8821959625800099"/>
        <n v="3.9577006937561943"/>
        <n v="3.821870170015456"/>
        <n v="2.7791838417147567"/>
        <n v="3.85647983595352"/>
        <n v="0.9719987468671679"/>
        <n v="1.637177085209872"/>
        <n v="1.7147986247544205"/>
        <n v="2.0709302325581396"/>
        <n v="0.8314236509758898"/>
        <n v="0.9480129737111642"/>
        <n v="7.503269230769231"/>
        <n v="0.5857075312394461"/>
        <n v="2.2122545349841634"/>
        <n v="2.2863834071687474"/>
        <n v="3.4541413196069257"/>
        <n v="2.543286167357892"/>
        <n v="1.581311475409836"/>
        <n v="0.5247539580658964"/>
        <n v="3.1718009205983893"/>
        <n v="6.182144578313253"/>
        <n v="1.3434552354666207"/>
        <n v="2.1771065468549424"/>
        <n v="0.6411484593837535"/>
        <n v="2.4848253452477658"/>
        <n v="1.4286277454477192"/>
        <n v="1.175736368746487"/>
        <n v="2.0690499098015636"/>
        <n v="0.75675209898365"/>
        <n v="1.9022028206850234"/>
        <n v="2.7127317415730334"/>
        <n v="5.916649717514124"/>
        <n v="1.2992901292376848"/>
        <n v="3.1016121495327105"/>
        <n v="1.4777390288670116"/>
        <n v="1.1370198105081826"/>
        <n v="2.5926506986027946"/>
        <n v="2.091890838206628"/>
        <n v="2.307288585513841"/>
        <n v="4.674834532374101"/>
        <n v="3.159102749638205"/>
        <n v="2.960203078938749"/>
        <n v="1.3172595078299778"/>
        <n v="1.0250855048859935"/>
        <n v="3.9525217812197484"/>
        <n v="1.1591708841917239"/>
        <n v="0.9060212699405693"/>
        <n v="0.6352679634775704"/>
        <n v="3.0929166666666665"/>
        <n v="0.6552657195474875"/>
        <n v="1.1363017142857141"/>
        <n v="4.930650557620818"/>
        <n v="5.688212074303405"/>
        <n v="2.440256994144437"/>
        <n v="1.281592039800995"/>
        <n v="4.822916387959866"/>
        <n v="0.863756255519576"/>
        <n v="4.704815016322089"/>
        <n v="1.089938192119495"/>
        <n v="2.2238166666666666"/>
        <n v="2.6912253063265816"/>
        <n v="3.0176076076076077"/>
        <n v="2.1119667943805878"/>
        <n v="8.476039250669045"/>
        <n v="0.7360505942645295"/>
        <n v="1.9336218200891686"/>
        <n v="1.6843810888252149"/>
        <n v="0.7650964878425318"/>
        <n v="1.562971333232216"/>
        <n v="4.94996589940324"/>
        <n v="1.0406047453703704"/>
        <n v="2.29580651901379"/>
        <n v="2.9994352708058125"/>
        <n v="1.0391427900422734"/>
        <n v="6.649909027291812"/>
        <n v="5.901827371695179"/>
        <n v="0.8122440692455652"/>
        <n v="3.3528452231956614"/>
        <n v="1.379337899543379"/>
        <n v="1.8628359345260754"/>
        <n v="4.608420755781162"/>
        <n v="0.7175223256697701"/>
        <n v="4.609455017301038"/>
        <n v="5.767539964476021"/>
        <n v="2.0301694411414983"/>
        <n v="2.5454037267080745"/>
        <n v="2.301918388977213"/>
        <n v="0.6910469037400369"/>
        <n v="2.413423573511037"/>
        <n v="1.0406241556336124"/>
        <n v="2.451346726190476"/>
        <n v="4.219901055408971"/>
        <n v="2.979267211997273"/>
        <n v="0.47675961411391565"/>
        <n v="1.977319422150883"/>
        <n v="2.208446389496718"/>
        <n v="1.003264647467726"/>
        <n v="3.9494285714285713"/>
        <n v="1.6029521556256572"/>
        <n v="3.4007787065552133"/>
        <n v="1.855223130106851"/>
        <n v="2.3737806301050175"/>
        <n v="1.5683243243243243"/>
        <n v="1.743195822454308"/>
        <n v="1.4711505339304167"/>
        <n v="2.255558242644095"/>
        <n v="2.410541871921182"/>
        <n v="2.0198844957796536"/>
        <n v="1.032396100564392"/>
        <n v="5.096653498871332"/>
        <n v="5.290202614379085"/>
        <n v="1.121895936065295"/>
        <n v="1.0553564708342045"/>
        <n v="4.312513703993735"/>
        <n v="4.002480053191489"/>
        <n v="0.49971340046475604"/>
        <n v="1.1748225286007625"/>
        <n v="0.5364721451978826"/>
        <n v="2.2746831220813877"/>
        <n v="6.223197278911566"/>
        <n v="2.040547028728847"/>
        <n v="3.0618338323353296"/>
        <n v="5.737965043695381"/>
        <n v="3.35488845144357"/>
        <n v="2.1924012567324955"/>
        <n v="0.5123950843247483"/>
        <n v="1.4170741599073"/>
        <n v="2.098846153846154"/>
        <n v="1.413621231155779"/>
        <n v="2.3357922350472196"/>
        <n v="1.5406574727389353"/>
        <n v="2.5961"/>
        <n v="0.9537426900584794"/>
        <n v="3.4275744859420896"/>
        <n v="3.4033888426311405"/>
        <n v="2.2350870297585628"/>
        <n v="2.0294204322200393"/>
        <n v="1.9790725126475548"/>
        <n v="3.2839713133124158"/>
        <n v="3.3025393700787404"/>
        <n v="4.822617391304348"/>
        <n v="1.168504130386247"/>
        <n v="1.318944562899787"/>
        <n v="1.7786930017069007"/>
        <n v="0.5097100555212831"/>
        <n v="1.5975745738636364"/>
        <n v="2.11246103117506"/>
        <n v="2.73079226686884"/>
        <n v="1.5522727272727272"/>
        <n v="5.176443484521238"/>
        <n v="1.2840673339399455"/>
        <n v="2.8566208476517754"/>
        <n v="1.1801416015625"/>
        <n v="3.7169618528610355"/>
        <n v="2.5926901987662783"/>
        <n v="1.0028518839324383"/>
        <n v="3.3515938303341906"/>
        <n v="3.7289977116704804"/>
        <n v="1.4737388316151203"/>
        <n v="2.233062244434348"/>
        <n v="1.6731268494772145"/>
        <n v="1.6332975650020636"/>
        <n v="1.017169086963779"/>
        <n v="7.979504950495049"/>
        <n v="2.9985878962536026"/>
        <n v="1.8119327427228349"/>
        <n v="5.5173781512605045"/>
        <n v="3.449975201487911"/>
        <n v="0.7124927367809414"/>
        <n v="1.8628689956331879"/>
        <n v="2.578453747467927"/>
        <n v="1.1960096707345154"/>
        <n v="2.219630450849963"/>
        <n v="1.1532563609151165"/>
        <n v="0.43296327446033084"/>
        <n v="3.3561397058823528"/>
        <n v="3.275741507870754"/>
        <n v="1.7867477203647415"/>
        <n v="4.085111111111111"/>
        <n v="2.93928093645485"/>
        <n v="5.433927550047664"/>
        <n v="3.0367625899280575"/>
        <n v="1.258441209406495"/>
        <n v="4.150137614678899"/>
        <n v="1.0107192480588476"/>
        <n v="1.3296488764044945"/>
        <n v="1.151094470046083"/>
        <n v="1.0739907759088443"/>
        <n v="1.2414945264159924"/>
        <n v="1.6901198083067095"/>
        <n v="0.6728905109489052"/>
        <n v="3.812037186742118"/>
        <n v="1.375488768718802"/>
        <n v="1.4516471962616821"/>
        <n v="1.0649763313609466"/>
        <n v="1.5056919899013084"/>
        <n v="1.044459333952501"/>
        <n v="1.2149934065934067"/>
        <n v="1.646965366916929"/>
        <n v="4.73746255506608"/>
        <n v="2.701645520953479"/>
        <n v="1.1341688741721854"/>
        <n v="1.6540240137221267"/>
        <n v="0.9338638888888888"/>
        <n v="3.679444933920705"/>
        <n v="0.6732836174242424"/>
        <n v="2.6803508771929825"/>
        <n v="3.674920071047957"/>
        <n v="1.6510077035186341"/>
        <n v="0.4247382241916954"/>
        <n v="2.940648880105402"/>
        <n v="1.4690434391177132"/>
        <n v="3.0573971830985918"/>
        <n v="1.666113074204947"/>
        <n v="0.5578932316491897"/>
        <n v="3.330636482939633"/>
        <n v="6.607511563367253"/>
        <n v="0.7755160578573179"/>
        <n v="1.1375279261777562"/>
        <n v="2.03002574002574"/>
        <n v="2.0078999049730757"/>
        <n v="2.7287578125"/>
        <n v="3.418558077436582"/>
        <n v="1.473302649930265"/>
        <n v="1.4451800600200067"/>
        <n v="2.3614983594604446"/>
        <n v="1.631053931659119"/>
        <n v="2.139562908496732"/>
        <n v="4.8158631415241056"/>
        <n v="2.365081714461918"/>
        <n v="3.539551181102362"/>
        <n v="2.639791052114061"/>
        <n v="2.555227001194743"/>
        <n v="1.2337606978275182"/>
        <n v="1.9479321845469706"/>
        <n v="2.3132824760244115"/>
        <n v="6.228017015706806"/>
        <n v="6.437917042380523"/>
        <n v="1.160382299819386"/>
        <n v="0.8982003288225623"/>
        <n v="2.832445054945055"/>
        <n v="3.6262903225806453"/>
        <n v="4.175847926267281"/>
        <n v="0.6912512841586194"/>
        <n v="1.0345351312987934"/>
        <n v="2.207877512856475"/>
        <n v="1.2090914796798995"/>
        <n v="7.3106517690875235"/>
        <n v="7.683181367690783"/>
        <n v="2.0173546923731216"/>
        <n v="1.3266821409066085"/>
        <n v="0.9454643574297189"/>
        <n v="4.572051664182812"/>
        <n v="1.9752750809061488"/>
        <n v="3.639570393374741"/>
        <n v="4.816629431762992"/>
        <n v="2.916556914393227"/>
        <n v="1.0759987099548485"/>
        <n v="1.503818735057596"/>
        <n v="2.6242703862660943"/>
        <n v="5.322656467315716"/>
        <n v="2.6355563985837125"/>
        <n v="1.6006239396795474"/>
        <n v="3.222156862745098"/>
        <n v="3.749468982630273"/>
        <n v="3.116138613861386"/>
        <n v="0.6129247822644497"/>
        <n v="0.71228547008547"/>
        <n v="1.326493031113614"/>
        <n v="1.979626004893394"/>
        <n v="2.463296648324162"/>
        <n v="1.092858020897357"/>
        <n v="1.271896722939424"/>
        <n v="0.8947779569104499"/>
        <n v="2.373194735267724"/>
        <n v="1.2796448715270523"/>
        <n v="2.084956161714564"/>
        <n v="1.77"/>
        <n v="1.3553964719986298"/>
        <n v="5.115817518248175"/>
        <n v="2.703705471905986"/>
        <n v="0.5473473520249221"/>
        <n v="1.0945609137055836"/>
        <n v="1.6471379310344827"/>
        <n v="2.7409411362080767"/>
        <n v="0.5570834792761238"/>
        <n v="0.9528387708135915"/>
        <n v="4.204994311717861"/>
        <n v="2.879608617594255"/>
        <n v="2.7727550432276655"/>
        <n v="3.6359563994374122"/>
        <n v="0.7448235294117648"/>
        <n v="2.5317887931034484"/>
        <n v="1.7626002109704642"/>
        <n v="2.938042049934297"/>
        <n v="3.097619639527657"/>
        <n v="1.2453050034270048"/>
        <n v="3.103173592493298"/>
        <n v="1.0372843373493974"/>
        <n v="1.779140958709065"/>
        <n v="0.8684142857142857"/>
        <n v="1.374701166180758"/>
        <n v="1.1441818888457054"/>
        <n v="3.7080591878871303"/>
        <n v="2.4649754901960783"/>
        <n v="0.6106481128478841"/>
        <n v="1.7359499083689676"/>
        <n v="1.0456697247706421"/>
        <n v="3.8174838152783774"/>
        <n v="1.9737420382165605"/>
        <n v="7.689413223140496"/>
        <n v="3.4572644574398956"/>
        <n v="2.043991537376587"/>
        <n v="0.8626777832270721"/>
        <n v="4.86081417624521"/>
        <n v="0.7769302907158487"/>
        <n v="2.673972400197141"/>
        <n v="0.9207660268018835"/>
        <n v="1.0859756483238456"/>
        <n v="1.4438546743464777"/>
        <n v="1.873770977295163"/>
        <n v="2.9037741568776054"/>
        <n v="1.9815737833594977"/>
        <n v="0.8517139001349527"/>
        <n v="3.7531631863882446"/>
        <n v="1.5447210626185959"/>
        <n v="0.8667641179410295"/>
        <n v="0.8164973974863527"/>
        <n v="0.8930427586206897"/>
        <n v="1.9444025289778715"/>
        <n v="0.7874225213854998"/>
        <n v="4.1164976958525346"/>
        <n v="1.783203261502621"/>
        <n v="3.2129462571976966"/>
        <n v="2.0940783289817233"/>
        <n v="2.4875100401606427"/>
        <n v="1.1296151885830783"/>
        <n v="0.8939059158945117"/>
        <n v="0.8930977204453083"/>
        <n v="0.7006063221490991"/>
        <n v="1.2091005967604433"/>
        <n v="2.8990666082383876"/>
        <n v="0.9548951663527935"/>
        <n v="1.3709249329758713"/>
        <n v="1.75160087284269"/>
        <n v="1.3454234900510653"/>
        <n v="6.724765990639625"/>
        <n v="2.6587699237699236"/>
        <n v="2.251391035548686"/>
        <n v="0.9123572575097455"/>
        <n v="0.4214074747245257"/>
        <n v="1.362493954050786"/>
        <n v="1.1591433848995614"/>
        <n v="5.65533962264151"/>
        <n v="0.8823416105825018"/>
        <n v="3.014220125786163"/>
        <n v="3.6011269760326368"/>
        <n v="1.9709124221326493"/>
        <n v="2.1926286966046002"/>
        <n v="1.6889469337187692"/>
        <n v="1.99840571891017"/>
        <n v="0.735618343838296"/>
        <n v="1.6797435897435897"/>
        <n v="3.5852573373032754"/>
        <n v="0.7781837292411183"/>
        <n v="1.0327485750474985"/>
        <n v="0.9097974767596282"/>
        <n v="3.6580668666952425"/>
        <n v="1.1002652414885195"/>
        <n v="1.0359194488606254"/>
        <n v="2.9571194029850747"/>
        <n v="2.2053577722946778"/>
        <n v="0.8659337997847147"/>
        <n v="0.8241687794277436"/>
        <n v="7.258075201432408"/>
        <n v="2.5078737412858247"/>
        <n v="3.675750556792873"/>
        <n v="2.059958170663692"/>
        <n v="3.587067913786092"/>
        <n v="3.574005967922417"/>
        <n v="0.7918338613164378"/>
        <n v="1.3457329338754547"/>
        <n v="1.7748637453673426"/>
        <n v="1.032855716425362"/>
        <n v="2.4322480355312606"/>
        <n v="1.4525693673695894"/>
        <n v="5.845824031516743"/>
        <n v="0.8783733851923878"/>
        <n v="2.3277493606138107"/>
        <n v="3.2426252377932783"/>
        <n v="1.9503356439255746"/>
        <n v="1.6716603773584906"/>
        <n v="2.280684758598927"/>
        <n v="1.0776132930513596"/>
      </sharedItems>
    </cacheField>
    <cacheField name="CPA" numFmtId="0">
      <sharedItems containsSemiMixedTypes="0" containsString="0" containsNumber="1">
        <n v="5.810323809523809"/>
        <n v="84.57013888888889"/>
        <n v="3.5960956175298806"/>
        <n v="19.49647416413374"/>
        <n v="18.023593380614656"/>
        <n v="4.534513064133017"/>
        <n v="22.649025423728816"/>
        <n v="12.472367491166077"/>
        <n v="20.357619047619046"/>
        <n v="94.89161764705882"/>
        <n v="7.706966292134831"/>
        <n v="68.67326797385621"/>
        <n v="31.762835820895525"/>
        <n v="87.71534482758621"/>
        <n v="50.38594202898551"/>
        <n v="44.89703947368421"/>
        <n v="4.275380673499268"/>
        <n v="26.65377192982456"/>
        <n v="12.476483870967742"/>
        <n v="27.78765625"/>
        <n v="18.072724014336917"/>
        <n v="15.990559210526316"/>
        <n v="45.588571428571434"/>
        <n v="38.428721804511284"/>
        <n v="43.48342465753424"/>
        <n v="5.704662116040955"/>
        <n v="9.290727272727272"/>
        <n v="29.826126126126123"/>
        <n v="9.05756335282651"/>
        <n v="24.557623456790125"/>
        <n v="17.14"/>
        <n v="18.369537275064268"/>
        <n v="13.585538461538462"/>
        <n v="2.057955314827353"/>
        <n v="6.294587039390089"/>
        <n v="56.88610389610389"/>
        <n v="17.294703196347033"/>
        <n v="63.63328571428571"/>
        <n v="12.95656814449918"/>
        <n v="19.648717948717948"/>
        <n v="44.89116504854369"/>
        <n v="2.425266666666667"/>
        <n v="61.97402684563758"/>
        <n v="27.77881278538813"/>
        <n v="35.671030927835055"/>
        <n v="10.861684665226782"/>
        <n v="20.729486301369864"/>
        <n v="17.31961685823755"/>
        <n v="8.036448412698412"/>
        <n v="106.3134"/>
        <n v="25.25950464396285"/>
        <n v="26.670909090909092"/>
        <n v="35.85714932126697"/>
        <n v="53.03201438848921"/>
        <n v="46.99190789473685"/>
        <n v="25.49546623794212"/>
        <n v="7.986940298507463"/>
        <n v="7.580637755102041"/>
        <n v="16.639324675324676"/>
        <n v="19.523860759493672"/>
        <n v="8.383152985074627"/>
        <n v="42.43645502645502"/>
        <n v="14.071702838063441"/>
        <n v="4.251039387308534"/>
        <n v="39.866883116883116"/>
        <n v="21.6457421875"/>
        <n v="14.276431784107945"/>
        <n v="4.104056603773585"/>
        <n v="32.13254143646409"/>
        <n v="76.59025"/>
        <n v="21.34030959752322"/>
        <n v="33.32582733812949"/>
        <n v="8.301367127496158"/>
        <n v="28.40850318471338"/>
        <n v="6.777718940936864"/>
        <n v="16.064375000000002"/>
        <n v="28.580624999999998"/>
        <n v="38.442"/>
        <n v="5.5706148055207025"/>
        <n v="11.49653284671533"/>
        <n v="63.08533333333333"/>
        <n v="5.387796407185629"/>
        <n v="14.430507726269317"/>
        <n v="11.84147102526003"/>
        <n v="54.9182191780822"/>
        <n v="61.108688524590164"/>
        <n v="13.800333333333334"/>
        <n v="112.99499999999999"/>
        <n v="37.52943775100402"/>
        <n v="36.48619289340101"/>
        <n v="12.083475935828877"/>
        <n v="99.50011111111111"/>
        <n v="21.203573200992558"/>
        <n v="114.309875"/>
        <n v="58.274625"/>
        <n v="8.348251366120218"/>
        <n v="64.36723684210526"/>
        <n v="4.79495786516854"/>
        <n v="8.755058823529412"/>
        <n v="28.90590909090909"/>
        <n v="11.643682310469314"/>
        <n v="28.339701492537312"/>
        <n v="9.140369799691834"/>
        <n v="7.824013722126929"/>
        <n v="12.0125"/>
        <n v="18.06771144278607"/>
        <n v="6.445107913669065"/>
        <n v="20.744519480519482"/>
        <n v="29.091176470588234"/>
        <n v="14.194315789473684"/>
        <n v="34.61368098159509"/>
        <n v="9.152271386430678"/>
        <n v="23.124605597964376"/>
        <n v="9.139607329842931"/>
        <n v="16.888793103448275"/>
        <n v="7.504352331606217"/>
        <n v="31.024916201117318"/>
        <n v="42.73290476190476"/>
        <n v="4.919943262411348"/>
        <n v="15.521535353535354"/>
        <n v="12.261533477321814"/>
        <n v="18.003658536585366"/>
        <n v="69.03927152317881"/>
        <n v="10.522909090909092"/>
        <n v="7.1576848249027245"/>
        <n v="68.05666666666667"/>
        <n v="30.910722891566266"/>
        <n v="16.225020833333335"/>
        <n v="36.70922077922078"/>
        <n v="16.856240310077517"/>
        <n v="33.86147601476014"/>
        <n v="35.89764150943396"/>
        <n v="70.30705882352942"/>
        <n v="32.76980952380952"/>
        <n v="18.170079575596816"/>
        <n v="134.87523809523807"/>
        <n v="14.413917910447761"/>
        <n v="38.64380073800738"/>
        <n v="12.775156537753222"/>
        <n v="57.71695652173913"/>
        <n v="8.147276908923644"/>
        <n v="6.062365097588978"/>
        <n v="14.336843267108168"/>
        <n v="13.194344262295083"/>
        <n v="54.81369369369369"/>
        <n v="40.612625"/>
        <n v="36.58558659217877"/>
        <n v="56.839622641509436"/>
        <n v="8.36682060390764"/>
        <n v="10.914494219653179"/>
        <n v="52.01216560509554"/>
        <n v="59.4451145038168"/>
        <n v="5.363981481481482"/>
        <n v="57.151428571428575"/>
        <n v="17.42791304347826"/>
        <n v="3.3431744966442953"/>
        <n v="42.48991452991453"/>
        <n v="128.35596774193547"/>
        <n v="29.39668"/>
        <n v="12.217182410423453"/>
        <n v="13.582545454545453"/>
        <n v="69.32942307692308"/>
        <n v="8.918480243161094"/>
        <n v="31.675641025641028"/>
        <n v="6.837205169628432"/>
        <n v="28.2389417989418"/>
        <n v="129.66518072289156"/>
        <n v="29.554803921568627"/>
        <n v="77.81976470588236"/>
        <n v="111.78399999999999"/>
        <n v="5.931739894551845"/>
        <n v="11.665981012658227"/>
        <n v="44.53401515151515"/>
        <n v="11.13688202247191"/>
        <n v="11.85807825086306"/>
        <n v="27.781387559808614"/>
        <n v="12.232414965986393"/>
        <n v="13.399670731707317"/>
        <n v="25.512050561797754"/>
        <n v="44.246700000000004"/>
        <n v="60.526878980891716"/>
        <n v="32.57403433476395"/>
        <n v="20.432741935483868"/>
        <n v="160.7354"/>
        <n v="41.796540880503144"/>
        <n v="30.5854375"/>
        <n v="46.16231638418079"/>
        <n v="14.090746268656718"/>
        <n v="62.68858823529411"/>
        <n v="36.079166666666666"/>
        <n v="110.15306451612904"/>
        <n v="15.449186507936508"/>
        <n v="25.401871345029242"/>
        <n v="7.033369734789392"/>
        <n v="35.1189696969697"/>
        <n v="9.14809976247031"/>
        <n v="14.139957081545065"/>
        <n v="23.782044609665427"/>
        <n v="24.485070028011204"/>
        <n v="3.250126126126126"/>
        <n v="10.589140401146132"/>
        <n v="12.111120000000001"/>
        <n v="16.1646"/>
        <n v="56.77303571428571"/>
        <n v="8.552075736325385"/>
        <n v="17.810990783410137"/>
        <n v="47.864756756756755"/>
        <n v="20.972474226804124"/>
        <n v="62.36654205607477"/>
        <n v="19.636588235294116"/>
        <n v="18.81387665198238"/>
        <n v="14.09581863979849"/>
        <n v="40.778333333333336"/>
        <n v="17.971383399209486"/>
        <n v="14.220070671378092"/>
        <n v="49.08298913043478"/>
        <n v="28.300734265734267"/>
        <n v="6.830093167701863"/>
        <n v="5.890046674445742"/>
        <n v="26.476346153846155"/>
        <n v="65.43184782608695"/>
        <n v="7.5601171875"/>
        <n v="14.724154411764705"/>
        <n v="5.20338630806846"/>
        <n v="36.273936170212764"/>
        <n v="32.67178571428572"/>
        <n v="69.59771812080537"/>
        <n v="26.736013071895425"/>
        <n v="55.37481927710843"/>
        <n v="85.21416666666667"/>
        <n v="12.12076923076923"/>
        <n v="16.67791489361702"/>
        <n v="21.838124999999998"/>
        <n v="19.58923076923077"/>
        <n v="14.472572347266881"/>
        <n v="20.852552693208434"/>
        <n v="14.00516034985423"/>
        <n v="35.155520833333334"/>
        <n v="6.634169491525424"/>
        <n v="24.02326470588235"/>
        <n v="34.06225"/>
        <n v="14.37072202166065"/>
        <n v="54.36710526315789"/>
        <n v="27.72259842519685"/>
        <n v="20.81403409090909"/>
        <n v="16.980668016194333"/>
        <n v="47.00008474576271"/>
        <n v="5.900484780157835"/>
        <n v="9.408136882129279"/>
        <n v="58.825967741935486"/>
        <n v="4.753970080552359"/>
        <n v="19.559869565217394"/>
        <n v="17.886218274111677"/>
        <n v="120.06383333333333"/>
        <n v="12.12325"/>
        <n v="34.07620853080569"/>
        <n v="8.337902511078287"/>
        <n v="71.93740384615384"/>
        <n v="17.020633802816903"/>
        <n v="22.485576923076923"/>
        <n v="39.19932642487047"/>
        <n v="32.16090277777778"/>
        <n v="27.622245762711866"/>
        <n v="21.669840425531913"/>
        <n v="9.958003095975233"/>
        <n v="25.20497435897436"/>
        <n v="21.36292191435768"/>
        <n v="11.179322033898305"/>
        <n v="7.570012422360248"/>
        <n v="85.24259615384615"/>
        <n v="102.0107843137255"/>
        <n v="10.582682154171065"/>
        <n v="60.79333333333334"/>
        <n v="21.56903100775194"/>
        <n v="8.427491408934708"/>
        <n v="29.93663157894737"/>
        <n v="25.289337748344373"/>
        <n v="9.308727598566309"/>
        <n v="18.200969696969697"/>
        <n v="7.7054"/>
        <n v="2.531770491803279"/>
        <n v="38.391728971962614"/>
        <n v="29.727969924812033"/>
        <n v="108.85925925925925"/>
        <n v="41.92614035087719"/>
        <n v="15.693660714285715"/>
        <n v="78.08479452054794"/>
        <n v="42.211"/>
        <n v="11.237879999999999"/>
        <n v="36.48104838709677"/>
        <n v="25.897696335078535"/>
        <n v="40.114830508474576"/>
        <n v="20.184848484848484"/>
        <n v="18.24299539170507"/>
        <n v="11.541504424778761"/>
        <n v="14.443890784982937"/>
        <n v="32.265100000000004"/>
        <n v="32.297876712328765"/>
        <n v="17.87391891891892"/>
        <n v="9.342932330827068"/>
        <n v="7.0305078125"/>
        <n v="47.885401459854016"/>
        <n v="6.780439276485788"/>
        <n v="48.49315789473685"/>
        <n v="15.011743929359822"/>
        <n v="36.087382550335576"/>
        <n v="21.68820987654321"/>
        <n v="6.716058823529412"/>
        <n v="14.307062314540058"/>
        <n v="14.125672268907563"/>
        <n v="45.89197802197802"/>
        <n v="8.502092675635277"/>
        <n v="30.555999999999997"/>
        <n v="20.152402597402595"/>
        <n v="33.74378723404255"/>
        <n v="10.965805084745762"/>
        <n v="45.55005102040816"/>
        <n v="18.4899716713881"/>
        <n v="64.60571428571428"/>
        <n v="10.176474820143884"/>
        <n v="11.290610932475884"/>
        <n v="76.90742424242424"/>
        <n v="39.245714285714286"/>
        <n v="39.053456790123455"/>
        <n v="18.44228346456693"/>
        <n v="24.142806122448977"/>
        <n v="13.81032679738562"/>
        <n v="17.079755501222493"/>
        <n v="27.932727272727274"/>
        <n v="11.049769874476988"/>
        <n v="13.780906200317967"/>
        <n v="83.04602564102564"/>
        <n v="22.834755043227666"/>
        <n v="35.15201342281879"/>
        <n v="33.781090909090906"/>
        <n v="37.41443902439024"/>
        <n v="40.86572727272727"/>
        <n v="26.846675"/>
        <n v="31.108727272727272"/>
        <n v="15.682698744769874"/>
        <n v="18.993658536585365"/>
        <n v="16.154246575342466"/>
        <n v="64.30006756756757"/>
        <n v="39.22884615384615"/>
        <n v="13.86615107913669"/>
        <n v="9.058762755102041"/>
        <n v="15.542864321608041"/>
        <n v="36.40104761904762"/>
        <n v="26.265478260869564"/>
        <n v="20.767407407407408"/>
        <n v="23.574016172506735"/>
        <n v="63.39127516778523"/>
        <n v="14.456923076923077"/>
        <n v="58.594328358208955"/>
        <n v="60.09558139534884"/>
        <n v="16.70237089201878"/>
        <n v="20.851115879828328"/>
        <n v="4.930274869109947"/>
        <n v="39.331367521367525"/>
        <n v="48.30187050359712"/>
        <n v="109.86953125"/>
        <n v="148.02149253731343"/>
        <n v="15.618639798488665"/>
        <n v="21.664372294372296"/>
        <n v="28.35684426229508"/>
        <n v="15.222946058091287"/>
        <n v="72.89504761904762"/>
        <n v="17.055630114566284"/>
        <n v="8.079267364414843"/>
        <n v="22.712276422764226"/>
        <n v="32.28709401709402"/>
        <n v="31.029718309859156"/>
        <n v="3.13918896999189"/>
        <n v="6.582733017377567"/>
        <n v="90.59692307692308"/>
        <n v="21.617213740458016"/>
        <n v="62.33075949367089"/>
        <n v="6.1738888888888885"/>
        <n v="15.734643734643734"/>
        <n v="11.606596958174904"/>
        <n v="17.708906250000002"/>
        <n v="9.960422764227642"/>
        <n v="18.292371794871794"/>
        <n v="19.541553191489363"/>
        <n v="8.018399189463018"/>
        <n v="36.12716494845361"/>
        <n v="15.798690987124463"/>
        <n v="13.889209486166006"/>
        <n v="5.93200825309491"/>
        <n v="18.632517730496453"/>
        <n v="23.625457227138643"/>
        <n v="7.822"/>
        <n v="7.609318918918919"/>
        <n v="27.379185185185186"/>
        <n v="96.62301204819278"/>
        <n v="14.779508448540705"/>
        <n v="33.79300653594771"/>
        <n v="10.81947546531303"/>
        <n v="12.677158273381295"/>
        <n v="18.880734463276838"/>
        <n v="24.84277777777778"/>
        <n v="15.526697819314641"/>
        <n v="8.440882694541232"/>
        <n v="25.09449864498645"/>
        <n v="18.55487068965517"/>
        <n v="10.649573863636364"/>
        <n v="5.986383169203223"/>
        <n v="8.438881431767337"/>
        <n v="11.499921875"/>
        <n v="50.8283962264151"/>
        <n v="28.632313167259788"/>
        <n v="9.258554913294798"/>
        <n v="13.684189406099518"/>
        <n v="6.21133514986376"/>
        <n v="56.69942307692308"/>
        <n v="29.79591346153846"/>
        <n v="178.92673076923077"/>
        <n v="30.060621468926552"/>
        <n v="89.45617283950617"/>
        <n v="11.446854663774403"/>
        <n v="55.76582417582417"/>
        <n v="4.73860819828408"/>
        <n v="16.95465625"/>
        <n v="5.649411111111111"/>
        <n v="6.02430701754386"/>
        <n v="8.18788944723618"/>
        <n v="21.208156424581006"/>
        <n v="19.35116161616162"/>
        <n v="13.909228650137742"/>
        <n v="15.778"/>
        <n v="80.88066666666667"/>
        <n v="15.868771929824561"/>
        <n v="9.582292817679559"/>
        <n v="7.979590570719603"/>
        <n v="9.068011204481794"/>
        <n v="16.623765765765768"/>
        <n v="45.28314516129032"/>
        <n v="154.01379310344825"/>
        <n v="9.643338582677167"/>
        <n v="18.496629834254144"/>
        <n v="13.234851485148514"/>
        <n v="17.888519855595668"/>
        <n v="6.4521251819505085"/>
        <n v="10.065409309791333"/>
        <n v="55.5389010989011"/>
        <n v="5.974167433302668"/>
        <n v="12.60688888888889"/>
        <n v="16.919872122762147"/>
        <n v="75.30435643564356"/>
        <n v="13.310759219088938"/>
        <n v="84.90211538461539"/>
        <n v="7.22179584120983"/>
        <n v="57.474333333333334"/>
        <n v="19.087587064676615"/>
        <n v="11.362324492979718"/>
        <n v="40.59989795918367"/>
        <n v="3.0135255889520716"/>
        <n v="13.657969696969698"/>
        <n v="41.14959016393443"/>
        <n v="29.676534653465346"/>
        <n v="46.3659756097561"/>
        <n v="17.555347985347986"/>
        <n v="69.23343137254902"/>
        <n v="36.58925170068027"/>
        <n v="17.33220779220779"/>
        <n v="14.127063903281519"/>
        <n v="49.06019867549669"/>
        <n v="5.014192592592592"/>
        <n v="18.42992327365729"/>
        <n v="53.01220125786164"/>
        <n v="5.8852464228934815"/>
        <n v="5.260354838709677"/>
        <n v="5.769073684210526"/>
        <n v="31.375992647058826"/>
        <n v="7.089974489795918"/>
        <n v="7.620974658869396"/>
        <n v="105.66773333333333"/>
        <n v="16.166925064599486"/>
        <n v="21.03143790849673"/>
        <n v="18.450243243243243"/>
        <n v="68.7056779661017"/>
        <n v="44.04986394557823"/>
        <n v="44.605729729729724"/>
        <n v="11.876221864951768"/>
        <n v="21.203365384615385"/>
        <n v="21.388191964285713"/>
        <n v="6.436623748211731"/>
        <n v="12.428083003952569"/>
        <n v="32.5652"/>
        <n v="18.694066265060243"/>
        <n v="23.730633333333333"/>
        <n v="12.14631090487239"/>
        <n v="65.94955555555556"/>
        <n v="12.571391650099404"/>
        <n v="32.12294117647058"/>
        <n v="16.765967213114752"/>
        <n v="15.495275362318841"/>
        <n v="32.485933333333335"/>
        <n v="11.65724193548387"/>
        <n v="19.41170068027211"/>
      </sharedItems>
    </cacheField>
    <cacheField name="ROAS" numFmtId="0">
      <sharedItems containsSemiMixedTypes="0" containsString="0" containsNumber="1">
        <n v="7.221597353807017"/>
        <n v="0.2918271323112801"/>
        <n v="10.57631672243026"/>
        <n v="2.518265324257835"/>
        <n v="1.4123017111797251"/>
        <n v="7.88236696123162"/>
        <n v="1.6934765405029213"/>
        <n v="2.4847606581899777"/>
        <n v="1.2766828066400007"/>
        <n v="0.22545225745161274"/>
        <n v="2.848273527201099"/>
        <n v="0.6443831308811926"/>
        <n v="1.2759255865533266"/>
        <n v="0.397368840037032"/>
        <n v="0.5510134814461131"/>
        <n v="0.7929707591199162"/>
        <n v="11.481443177167789"/>
        <n v="1.7575307796862298"/>
        <n v="1.8157979786488645"/>
        <n v="1.0709763215456503"/>
        <n v="2.4823106168030797"/>
        <n v="2.26889426943941"/>
        <n v="0.4877644291031104"/>
        <n v="0.6755745428505464"/>
        <n v="0.9476197826915626"/>
        <n v="3.895294310503474"/>
        <n v="4.939668312708881"/>
        <n v="0.7344821336877398"/>
        <n v="4.624663996573787"/>
        <n v="1.3912767527118757"/>
        <n v="2.498457892761863"/>
        <n v="1.8951950460063673"/>
        <n v="1.5282847630479728"/>
        <n v="18.995706671930517"/>
        <n v="7.502793792290425"/>
        <n v="0.7500336740308159"/>
        <n v="1.6590372642929183"/>
        <n v="0.6952897517696265"/>
        <n v="3.4044635671784604"/>
        <n v="1.841354560876941"/>
        <n v="0.6580381029415263"/>
        <n v="13.529743960954274"/>
        <n v="0.32608161245293277"/>
        <n v="0.9598409483920598"/>
        <n v="1.3536844417341745"/>
        <n v="3.7830744328847317"/>
        <n v="2.3576765939590385"/>
        <n v="1.6759239185739379"/>
        <n v="4.764159817498155"/>
        <n v="0.2667528270189835"/>
        <n v="0.9638685496186948"/>
        <n v="1.022149885245529"/>
        <n v="0.7565894329308227"/>
        <n v="0.7348242204722274"/>
        <n v="0.48324669560968636"/>
        <n v="1.0039260495214457"/>
        <n v="5.049110021023125"/>
        <n v="3.5346462018905576"/>
        <n v="2.4477032971492974"/>
        <n v="1.235699906313923"/>
        <n v="5.694850412941734"/>
        <n v="0.937861651844214"/>
        <n v="2.550474258359582"/>
        <n v="11.036471965924154"/>
        <n v="0.7567912696473654"/>
        <n v="2.1673232502783635"/>
        <n v="2.7500530329602473"/>
        <n v="11.441516348626203"/>
        <n v="0.7171590735197275"/>
        <n v="0.32411762593802734"/>
        <n v="1.8537136656163136"/>
        <n v="0.8137076910124366"/>
        <n v="4.7569256447312185"/>
        <n v="1.304161196914443"/>
        <n v="4.124701760290397"/>
        <n v="1.9790958253900321"/>
        <n v="1.5340582562487701"/>
        <n v="0.9046229423941301"/>
        <n v="5.102340656519017"/>
        <n v="2.201822193298519"/>
        <n v="0.7520914432399405"/>
        <n v="8.881099668579022"/>
        <n v="3.3892507595203925"/>
        <n v="2.6646121182385927"/>
        <n v="0.45676634996495413"/>
        <n v="0.6689867288330655"/>
        <n v="2.7861801129717363"/>
        <n v="0.3146144950207077"/>
        <n v="1.0900904564341993"/>
        <n v="0.7895525461268987"/>
        <n v="3.8078584357477614"/>
        <n v="0.3522151287379914"/>
        <n v="1.9364192560830606"/>
        <n v="0.26366816515196084"/>
        <n v="0.6409028801129136"/>
        <n v="4.345741721377468"/>
        <n v="0.32493238837182203"/>
        <n v="6.4246062548147185"/>
        <n v="4.922846623128812"/>
        <n v="0.7804789835359237"/>
        <n v="3.1106191672092516"/>
        <n v="1.7387466030461987"/>
        <n v="4.798010822474334"/>
        <n v="2.8570614285087914"/>
        <n v="3.752708405596023"/>
        <n v="1.3946885816483598"/>
        <n v="5.6596102113029785"/>
        <n v="1.368941131689922"/>
        <n v="1.2591659084015772"/>
        <n v="1.9326001512836866"/>
        <n v="0.5902804487037467"/>
        <n v="2.318753182793897"/>
        <n v="1.4800345951846232"/>
        <n v="3.742410485402411"/>
        <n v="1.8920907559593692"/>
        <n v="2.846230857395363"/>
        <n v="1.1311578727496012"/>
        <n v="0.5824094513985543"/>
        <n v="4.226742509859999"/>
        <n v="2.4008077405650803"/>
        <n v="2.7523132449899506"/>
        <n v="1.7542586195217773"/>
        <n v="0.37476798405360995"/>
        <n v="1.9525641025641025"/>
        <n v="3.0925728109158612"/>
        <n v="0.30413108901623376"/>
        <n v="0.7617078332859107"/>
        <n v="2.855106760263533"/>
        <n v="0.7753103540990798"/>
        <n v="2.6224732174268954"/>
        <n v="0.9202361259134787"/>
        <n v="1.3349828521871674"/>
        <n v="0.6048629421481281"/>
        <n v="1.4365836149998692"/>
        <n v="1.6291335042305828"/>
        <n v="0.15069541045575335"/>
        <n v="2.0521417680361798"/>
        <n v="0.962719396665734"/>
        <n v="2.2540871944424823"/>
        <n v="0.7375855938651139"/>
        <n v="2.7906480173530306"/>
        <n v="6.018421232046543"/>
        <n v="2.1293014647575905"/>
        <n v="3.247249504569146"/>
        <n v="0.4109054093144345"/>
        <n v="1.0995549413513654"/>
        <n v="0.6162300994683012"/>
        <n v="0.5474921161825727"/>
        <n v="5.925791632346322"/>
        <n v="2.0619383727688825"/>
        <n v="0.6292121759852852"/>
        <n v="0.5850569708923877"/>
        <n v="4.043468954445806"/>
        <n v="0.6907307653851923"/>
        <n v="2.8038454054215873"/>
        <n v="13.776718266005265"/>
        <n v="0.4792811567149168"/>
        <n v="0.36409958696015493"/>
        <n v="0.7556594826354541"/>
        <n v="2.921535456951082"/>
        <n v="2.4764309809381024"/>
        <n v="0.6784235242557133"/>
        <n v="5.439529953854229"/>
        <n v="1.2187280643426672"/>
        <n v="4.959768254560835"/>
        <n v="0.7908250830029454"/>
        <n v="0.31577343315174117"/>
        <n v="1.5027632281670145"/>
        <n v="0.6081715215248508"/>
        <n v="0.37368075405929924"/>
        <n v="8.089001706585762"/>
        <n v="1.7821915392857628"/>
        <n v="1.114165372400055"/>
        <n v="2.8218592438829377"/>
        <n v="3.8075193092064086"/>
        <n v="1.0151473138705993"/>
        <n v="3.628640864436801"/>
        <n v="2.7361083681524754"/>
        <n v="1.7830558152184084"/>
        <n v="0.5395837429684022"/>
        <n v="0.4437582081761854"/>
        <n v="0.9438466352646662"/>
        <n v="1.7427542237974578"/>
        <n v="0.2834808013667182"/>
        <n v="1.107738144500538"/>
        <n v="0.6821383542412953"/>
        <n v="0.8908212607686217"/>
        <n v="1.4503378950936359"/>
        <n v="0.5067476395929084"/>
        <n v="0.8439126919967663"/>
        <n v="0.28956334953268836"/>
        <n v="3.138392759674252"/>
        <n v="1.368541250356837"/>
        <n v="7.023800070535157"/>
        <n v="1.1105678878547898"/>
        <n v="2.608890389084347"/>
        <n v="1.7089731409787499"/>
        <n v="1.2770138353729736"/>
        <n v="1.6347399718801947"/>
        <n v="6.530840105997272"/>
        <n v="2.390214335387121"/>
        <n v="2.7927524456862782"/>
        <n v="2.171567499350432"/>
        <n v="0.774704415136713"/>
        <n v="5.403058237380752"/>
        <n v="1.5892623127903471"/>
        <n v="0.5334952761045197"/>
        <n v="1.6467141515879922"/>
        <n v="0.5431770569530151"/>
        <n v="1.4041704860674253"/>
        <n v="1.8789498331674763"/>
        <n v="2.3710838378567702"/>
        <n v="0.688534556749908"/>
        <n v="1.6505335667596266"/>
        <n v="1.659124116612164"/>
        <n v="0.8225465521460437"/>
        <n v="0.7988351879970497"/>
        <n v="6.202431996992969"/>
        <n v="4.840925794955"/>
        <n v="1.4021332539204079"/>
        <n v="0.5834049035421855"/>
        <n v="3.252037057130604"/>
        <n v="1.7384374914169147"/>
        <n v="9.013929710058102"/>
        <n v="0.8907749835031894"/>
        <n v="0.977469517046041"/>
        <n v="0.639563319787928"/>
        <n v="1.4983266554376975"/>
        <n v="0.6708531780135811"/>
        <n v="0.30055252941118943"/>
        <n v="2.9064419909635655"/>
        <n v="2.297565132638143"/>
        <n v="1.1278849652679823"/>
        <n v="1.100334760072253"/>
        <n v="1.513293801113982"/>
        <n v="2.124259324980571"/>
        <n v="3.056503537846316"/>
        <n v="0.920345014563265"/>
        <n v="6.7707928819125085"/>
        <n v="1.7452261349598612"/>
        <n v="0.6457258401896528"/>
        <n v="3.149101035247658"/>
        <n v="0.4791282460853361"/>
        <n v="1.6029249283537408"/>
        <n v="1.4780851534284942"/>
        <n v="2.6205079603502432"/>
        <n v="0.7208587795550314"/>
        <n v="5.945547439397906"/>
        <n v="3.3499438234034122"/>
        <n v="0.6583347270927641"/>
        <n v="8.16817147560031"/>
        <n v="2.24033902600044"/>
        <n v="2.6174776541505316"/>
        <n v="0.24446717926436354"/>
        <n v="1.732701627038954"/>
        <n v="1.3588068561128668"/>
        <n v="2.796740694024192"/>
        <n v="0.44370038588569927"/>
        <n v="1.5791148274877633"/>
        <n v="1.7448706435749413"/>
        <n v="0.7029199772122552"/>
        <n v="1.4692852993951853"/>
        <n v="1.2258297092278545"/>
        <n v="1.7345253845795092"/>
        <n v="2.062995210535888"/>
        <n v="1.466139162599161"/>
        <n v="1.9293780980724151"/>
        <n v="3.4171518238879286"/>
        <n v="6.3449045432615785"/>
        <n v="0.2744768043243097"/>
        <n v="0.23271953176807525"/>
        <n v="3.36069268993594"/>
        <n v="0.3560072985585651"/>
        <n v="0.933697646460526"/>
        <n v="4.28619515576578"/>
        <n v="1.0157654648298042"/>
        <n v="1.0572892798315652"/>
        <n v="2.7169785167116838"/>
        <n v="2.6067492241505614"/>
        <n v="5.057223320194743"/>
        <n v="10.009233478807028"/>
        <n v="0.8449408033028921"/>
        <n v="1.1795579970762453"/>
        <n v="0.39040215024496466"/>
        <n v="0.6238163185886626"/>
        <n v="2.1768030767655273"/>
        <n v="0.5540885479255955"/>
        <n v="0.7870663368045566"/>
        <n v="2.1941149042346066"/>
        <n v="1.3262630840140153"/>
        <n v="1.5182817610978356"/>
        <n v="0.6153478890050808"/>
        <n v="1.0311139468548265"/>
        <n v="2.2012160465603867"/>
        <n v="3.8121094319079276"/>
        <n v="1.879375528702334"/>
        <n v="1.2914263399152643"/>
        <n v="0.9881613575683545"/>
        <n v="1.6109747707289044"/>
        <n v="2.4152214559140304"/>
        <n v="3.618951444874737"/>
        <n v="0.9769187384723259"/>
        <n v="4.0974785603315"/>
        <n v="0.5782656985431115"/>
        <n v="2.4355206813796997"/>
        <n v="1.3426749389066805"/>
        <n v="2.123459864692941"/>
        <n v="6.550814699330548"/>
        <n v="1.9612919684412258"/>
        <n v="1.9635623797186719"/>
        <n v="1.0793190890217592"/>
        <n v="3.313210499481355"/>
        <n v="0.7701448309512192"/>
        <n v="1.8174172780790536"/>
        <n v="0.7762210600785141"/>
        <n v="4.286101246942537"/>
        <n v="0.834587653635102"/>
        <n v="2.5653014573400172"/>
        <n v="0.5505317972757827"/>
        <n v="4.141022106282652"/>
        <n v="2.423295114741213"/>
        <n v="0.3987931180541737"/>
        <n v="0.9425778974956318"/>
        <n v="1.2317700018651232"/>
        <n v="1.1351894468235297"/>
        <n v="0.8923053514483337"/>
        <n v="2.174265728970459"/>
        <n v="1.3029537821982875"/>
        <n v="1.4553563757078696"/>
        <n v="4.0338464800758835"/>
        <n v="2.0437230840579175"/>
        <n v="0.27391360058293285"/>
        <n v="2.1242670685011724"/>
        <n v="1.0314358538657604"/>
        <n v="1.3083306422097354"/>
        <n v="1.2154626621260083"/>
        <n v="0.6517997966733626"/>
        <n v="0.7890288089679636"/>
        <n v="0.8170463710855768"/>
        <n v="1.3402278181456795"/>
        <n v="2.513043862878211"/>
        <n v="2.1187260560765977"/>
        <n v="0.45992238669834534"/>
        <n v="0.9658218540124517"/>
        <n v="1.6088528817393424"/>
        <n v="4.608024139441036"/>
        <n v="2.3280601869364346"/>
        <n v="1.0652649976060342"/>
        <n v="1.027538213492334"/>
        <n v="0.9937728872402148"/>
        <n v="2.0434371984321906"/>
        <n v="0.4814754428128276"/>
        <n v="2.3792245579154736"/>
        <n v="0.8451762943792634"/>
        <n v="0.5431463830874073"/>
        <n v="1.395863228211114"/>
        <n v="1.3855003077201742"/>
        <n v="4.165329078537617"/>
        <n v="0.801644801891446"/>
        <n v="1.0040780701702126"/>
        <n v="0.2960556910540201"/>
        <n v="0.22984560531750128"/>
        <n v="3.1843402251395023"/>
        <n v="1.8227804342917429"/>
        <n v="0.949332786053617"/>
        <n v="1.6812221122840874"/>
        <n v="0.29817167016375795"/>
        <n v="2.804503218983993"/>
        <n v="3.946800905867293"/>
        <n v="1.0838580426998279"/>
        <n v="0.8274058328193371"/>
        <n v="1.2053793652306664"/>
        <n v="8.909309102934415"/>
        <n v="7.393515996419375"/>
        <n v="0.437732432753702"/>
        <n v="1.4920326076017312"/>
        <n v="0.669054228868856"/>
        <n v="4.309358034134197"/>
        <n v="2.894009993753904"/>
        <n v="3.2543754617064176"/>
        <n v="2.277977561230162"/>
        <n v="4.6543099029329085"/>
        <n v="2.488329986695215"/>
        <n v="2.308434944411962"/>
        <n v="4.8087327018912935"/>
        <n v="1.285075485077768"/>
        <n v="2.834064320535058"/>
        <n v="3.0459081893129425"/>
        <n v="7.5799001523453535"/>
        <n v="1.5355485053393652"/>
        <n v="1.648831381578044"/>
        <n v="4.627915798651135"/>
        <n v="5.628734041616112"/>
        <n v="1.1050784726975615"/>
        <n v="0.2388178624912871"/>
        <n v="1.4909234149494985"/>
        <n v="0.6516295865060837"/>
        <n v="3.5701787995890095"/>
        <n v="3.8813648293963254"/>
        <n v="1.2659772364340738"/>
        <n v="0.8317791145798391"/>
        <n v="2.776650408200527"/>
        <n v="3.341925807694424"/>
        <n v="1.336611637096417"/>
        <n v="2.199448049006558"/>
        <n v="3.7949848612167045"/>
        <n v="8.106047894430661"/>
        <n v="5.724512085849562"/>
        <n v="2.7763520811962037"/>
        <n v="0.6350780743938631"/>
        <n v="0.921795298843603"/>
        <n v="3.354279435360516"/>
        <n v="3.5841224597519137"/>
        <n v="6.970788222288512"/>
        <n v="0.7553993110317452"/>
        <n v="0.7039814120095844"/>
        <n v="0.24533032966867613"/>
        <n v="0.7902562242399069"/>
        <n v="0.2908217694022178"/>
        <n v="3.2724388857305287"/>
        <n v="0.5256064902486655"/>
        <n v="4.679307153778064"/>
        <n v="2.241309079917206"/>
        <n v="8.10768870698421"/>
        <n v="5.712725202432834"/>
        <n v="6.0577117817097195"/>
        <n v="1.8174466448557263"/>
        <n v="1.0486776822835786"/>
        <n v="1.6274091165664828"/>
        <n v="1.416995635876356"/>
        <n v="0.45778760478400277"/>
        <n v="1.6387218266778696"/>
        <n v="4.079702143975276"/>
        <n v="6.026169430386143"/>
        <n v="4.5513641081401675"/>
        <n v="2.6499313367706496"/>
        <n v="0.49474186614331694"/>
        <n v="0.2890583019881784"/>
        <n v="3.7115858199205687"/>
        <n v="1.1791635925911546"/>
        <n v="3.487269834620065"/>
        <n v="1.6830268489965936"/>
        <n v="6.1625024534078126"/>
        <n v="4.130587250328908"/>
        <n v="0.8866550324097158"/>
        <n v="6.763594254317884"/>
        <n v="2.1996298320142422"/>
        <n v="2.471358154200557"/>
        <n v="0.40340321914764377"/>
        <n v="1.592942606734395"/>
        <n v="0.39054929772067837"/>
        <n v="6.397673761167229"/>
        <n v="0.49247838165441965"/>
        <n v="1.3789000952665182"/>
        <n v="3.695844574880719"/>
        <n v="1.1643137737854976"/>
        <n v="16.30709635679916"/>
        <n v="2.5456443457366436"/>
        <n v="0.810680742990887"/>
        <n v="1.2733466118178511"/>
        <n v="1.0585848011972614"/>
        <n v="1.694965791082521"/>
        <n v="0.7091170677205985"/>
        <n v="0.6068694200371099"/>
        <n v="1.7372331869701831"/>
        <n v="1.9438882484042561"/>
        <n v="0.509807521236918"/>
        <n v="8.394583670647465"/>
        <n v="2.4593219633366172"/>
        <n v="0.8686323547207596"/>
        <n v="4.77337633920612"/>
        <n v="9.143523373254594"/>
        <n v="5.818261437574582"/>
        <n v="1.1224205468071669"/>
        <n v="6.995639142652567"/>
        <n v="6.371147904111972"/>
        <n v="0.3183765968293064"/>
        <n v="2.4745532717450374"/>
        <n v="1.3902001671944582"/>
        <n v="2.1789941976887435"/>
        <n v="0.5847850139442747"/>
        <n v="0.5746780472964312"/>
        <n v="1.0836821351274712"/>
        <n v="3.24475396676057"/>
        <n v="0.9862401650681358"/>
        <n v="1.8840022500733153"/>
        <n v="4.942954302987198"/>
        <n v="3.197223233751179"/>
        <n v="1.5143539729527224"/>
        <n v="2.325420571890765"/>
        <n v="1.95340200219407"/>
        <n v="3.2954693929009404"/>
        <n v="0.6661825705168596"/>
        <n v="1.8777763896378696"/>
        <n v="0.9257430093940561"/>
        <n v="2.437318377196585"/>
        <n v="1.750618701913814"/>
        <n v="0.6832454662428251"/>
        <n v="3.3099347076232553"/>
        <n v="2.3645532535254703"/>
      </sharedItems>
    </cacheField>
    <cacheField name="Profit" numFmtId="0">
      <sharedItems containsSemiMixedTypes="0" containsString="0" containsNumber="1">
        <n v="37956.97"/>
        <n v="-4312.1"/>
        <n v="34575.1"/>
        <n v="9738.67"/>
        <n v="3143.380000000001"/>
        <n v="26277.289999999997"/>
        <n v="3706.75"/>
        <n v="5240.73"/>
        <n v="1774.2700000000004"/>
        <n v="-4997.87"/>
        <n v="11409.91"/>
        <n v="-3736.4700000000003"/>
        <n v="1174.3999999999996"/>
        <n v="-3065.88"/>
        <n v="-1560.96"/>
        <n v="-1412.8400000000001"/>
        <n v="61213.41"/>
        <n v="6905.34"/>
        <n v="6310.539999999999"/>
        <n v="252.44999999999982"/>
        <n v="7474.240000000001"/>
        <n v="6168.259999999999"/>
        <n v="-2125.0400000000004"/>
        <n v="-3316.290000000001"/>
        <n v="-166.26999999999998"/>
        <n v="24196.93"/>
        <n v="18118.18"/>
        <n v="-1758.0999999999995"/>
        <n v="16842.11"/>
        <n v="3113.26"/>
        <n v="5830.17"/>
        <n v="6396.84"/>
        <n v="3265.5499999999993"/>
        <n v="54699.75"/>
        <n v="32213.8"/>
        <n v="-1094.9099999999994"/>
        <n v="2496.13"/>
        <n v="-1357.2799999999997"/>
        <n v="18972.54"/>
        <n v="3868.38"/>
        <n v="-3162.3199999999997"/>
        <n v="41023.76"/>
        <n v="-6223.049999999999"/>
        <n v="-244.3100000000004"/>
        <n v="1223.7799999999997"/>
        <n v="13995.970000000001"/>
        <n v="8218.03"/>
        <n v="3055.46"/>
        <n v="15246.240000000002"/>
        <n v="-3897.7"/>
        <n v="-294.78999999999996"/>
        <n v="155.96000000000004"/>
        <n v="-1928.8900000000003"/>
        <n v="-1954.7299999999996"/>
        <n v="-3691.0500000000006"/>
        <n v="31.13000000000011"/>
        <n v="13000.68"/>
        <n v="7531.98"/>
        <n v="9274.189999999999"/>
        <n v="1454.1599999999999"/>
        <n v="21095.7"/>
        <n v="-498.3800000000001"/>
        <n v="13068.869999999999"/>
        <n v="38996.21000000001"/>
        <n v="-2239.7700000000004"/>
        <n v="6468.499999999999"/>
        <n v="16664.67"/>
        <n v="31796.61"/>
        <n v="-1645.0"/>
        <n v="-4141.280000000001"/>
        <n v="5884.58"/>
        <n v="-862.96"/>
        <n v="20303.140000000003"/>
        <n v="2713.199999999999"/>
        <n v="10398.57"/>
        <n v="5033.139999999999"/>
        <n v="4884.390000000001"/>
        <n v="-604.9700000000003"/>
        <n v="18213.49"/>
        <n v="3785.8"/>
        <n v="-2580.5"/>
        <n v="35455.57"/>
        <n v="15618.579999999998"/>
        <n v="13265.809999999998"/>
        <n v="-4355.68"/>
        <n v="-2467.79"/>
        <n v="10352.95"/>
        <n v="-5730.939999999999"/>
        <n v="841.8799999999992"/>
        <n v="-1512.6499999999996"/>
        <n v="25378.659999999996"/>
        <n v="-5800.92"/>
        <n v="8001.739999999998"/>
        <n v="-6733.6"/>
        <n v="-1674.1000000000004"/>
        <n v="10222.779999999999"/>
        <n v="-3302.37"/>
        <n v="18519.659999999996"/>
        <n v="14596.519999999999"/>
        <n v="-977.2000000000003"/>
        <n v="6807.38"/>
        <n v="5610.81"/>
        <n v="22530.18"/>
        <n v="8470.800000000001"/>
        <n v="9523.27"/>
        <n v="2866.71"/>
        <n v="16697.62"/>
        <n v="2946.5999999999995"/>
        <n v="2563.41"/>
        <n v="6287.87"/>
        <n v="-2311.6499999999996"/>
        <n v="4091.59"/>
        <n v="4362.540000000001"/>
        <n v="9574.66"/>
        <n v="3495.3900000000003"/>
        <n v="13369.849999999999"/>
        <n v="728.3800000000001"/>
        <n v="-3747.42"/>
        <n v="11192.15"/>
        <n v="10762.630000000001"/>
        <n v="9948.039999999999"/>
        <n v="5567.5599999999995"/>
        <n v="-6518.0"/>
        <n v="2756.5299999999997"/>
        <n v="7698.679999999999"/>
        <n v="-3836.04"/>
        <n v="-1834.0800000000008"/>
        <n v="14447.589999999998"/>
        <n v="-1905.33"/>
        <n v="7055.99"/>
        <n v="-731.9499999999989"/>
        <n v="2549.3200000000006"/>
        <n v="-3305.930000000001"/>
        <n v="3004.42"/>
        <n v="4309.64"/>
        <n v="-7216.66"/>
        <n v="8128.7"/>
        <n v="-390.4200000000001"/>
        <n v="8699.49"/>
        <n v="-1393.4099999999999"/>
        <n v="15858.14"/>
        <n v="26498.87"/>
        <n v="7334.35"/>
        <n v="7234.84"/>
        <n v="-3584.24"/>
        <n v="646.9099999999999"/>
        <n v="-2513.24"/>
        <n v="-4089.54"/>
        <n v="46406.08"/>
        <n v="8020.639999999999"/>
        <n v="-3027.8199999999997"/>
        <n v="-3231.29"/>
        <n v="8815.560000000001"/>
        <n v="-989.81"/>
        <n v="14461.14"/>
        <n v="63645.05"/>
        <n v="-2588.66"/>
        <n v="-5060.539999999999"/>
        <n v="-1795.6999999999998"/>
        <n v="14414.109999999999"/>
        <n v="11029.53"/>
        <n v="-2318.6500000000005"/>
        <n v="13026.38"/>
        <n v="1891.4399999999987"/>
        <n v="16758.65"/>
        <n v="-1116.3999999999996"/>
        <n v="-7363.789999999999"/>
        <n v="3031.25"/>
        <n v="-2591.82"/>
        <n v="-5951.0599999999995"/>
        <n v="47853.03"/>
        <n v="5767.02"/>
        <n v="671.1199999999999"/>
        <n v="7223.18"/>
        <n v="28930.560000000005"/>
        <n v="87.94999999999982"/>
        <n v="9453.460000000001"/>
        <n v="19075.89"/>
        <n v="7111.939999999999"/>
        <n v="-2037.19"/>
        <n v="-5285.8099999999995"/>
        <n v="-426.1899999999996"/>
        <n v="2822.83"/>
        <n v="-5758.5"/>
        <n v="715.9900000000007"/>
        <n v="-1555.5100000000002"/>
        <n v="-892.0699999999997"/>
        <n v="1700.6199999999994"/>
        <n v="-2628.31"/>
        <n v="-1013.6700000000001"/>
        <n v="-4851.92"/>
        <n v="16650.36"/>
        <n v="1600.8400000000001"/>
        <n v="27157.64"/>
        <n v="640.6999999999998"/>
        <n v="6196.4"/>
        <n v="2335.7899999999995"/>
        <n v="1772.1599999999999"/>
        <n v="5548.370000000001"/>
        <n v="19953.28"/>
        <n v="5137.689999999999"/>
        <n v="5428.0599999999995"/>
        <n v="4734.48"/>
        <n v="-1432.5599999999995"/>
        <n v="26848.219999999998"/>
        <n v="4554.9800000000005"/>
        <n v="-4130.889999999999"/>
        <n v="2631.26"/>
        <n v="-3048.4800000000005"/>
        <n v="2698.420000000001"/>
        <n v="7507.549999999999"/>
        <n v="7672.64"/>
        <n v="-1828.9499999999998"/>
        <n v="2957.8199999999997"/>
        <n v="2652.4999999999995"/>
        <n v="-1602.63"/>
        <n v="-1628.2300000000005"/>
        <n v="34324.969999999994"/>
        <n v="19388.11"/>
        <n v="2214.58"/>
        <n v="-2507.7899999999995"/>
        <n v="8717.14"/>
        <n v="2957.4200000000005"/>
        <n v="34110.25"/>
        <n v="-372.42999999999984"/>
        <n v="-185.5000000000009"/>
        <n v="-3737.749999999999"/>
        <n v="2038.4599999999996"/>
        <n v="-3025.5899999999992"/>
        <n v="-3576.17"/>
        <n v="9312.34"/>
        <n v="5085.560000000001"/>
        <n v="625.5799999999999"/>
        <n v="613.2299999999996"/>
        <n v="2310.3199999999997"/>
        <n v="10010.45"/>
        <n v="9878.97"/>
        <n v="-537.6599999999999"/>
        <n v="33881.71"/>
        <n v="6086.9400000000005"/>
        <n v="-2896.169999999999"/>
        <n v="17109.809999999998"/>
        <n v="-2152.1899999999996"/>
        <n v="2122.7599999999998"/>
        <n v="3502.71"/>
        <n v="13593.55"/>
        <n v="-1548.1200000000003"/>
        <n v="25883.66"/>
        <n v="11629.119999999999"/>
        <n v="-2492.25"/>
        <n v="29613.149999999998"/>
        <n v="5580.0"/>
        <n v="11398.640000000001"/>
        <n v="-5442.73"/>
        <n v="3553.0899999999992"/>
        <n v="2579.8500000000004"/>
        <n v="10142.17"/>
        <n v="-4161.95"/>
        <n v="4199.04"/>
        <n v="6096.58"/>
        <n v="-2247.55"/>
        <n v="2173.34"/>
        <n v="1472.1499999999996"/>
        <n v="5984.81"/>
        <n v="6838.11"/>
        <n v="4582.119999999999"/>
        <n v="7882.129999999999"/>
        <n v="9565.83"/>
        <n v="32571.1"/>
        <n v="-6431.929999999999"/>
        <n v="-7983.630000000001"/>
        <n v="23658.390000000003"/>
        <n v="-4228.25"/>
        <n v="-368.96000000000004"/>
        <n v="16118.130000000001"/>
        <n v="134.51000000000022"/>
        <n v="437.53999999999996"/>
        <n v="8918.449999999999"/>
        <n v="9650.65"/>
        <n v="21883.77"/>
        <n v="27827.36"/>
        <n v="-1273.9399999999996"/>
        <n v="709.94"/>
        <n v="-3583.4599999999996"/>
        <n v="-1798.0"/>
        <n v="4136.91"/>
        <n v="-2541.7799999999997"/>
        <n v="-1258.3400000000001"/>
        <n v="6709.660000000001"/>
        <n v="1475.9000000000005"/>
        <n v="2563.66"/>
        <n v="-1820.77"/>
        <n v="248.69999999999982"/>
        <n v="4755.290000000001"/>
        <n v="7335.05"/>
        <n v="3721.5699999999997"/>
        <n v="940.29"/>
        <n v="-111.64999999999964"/>
        <n v="4040.59"/>
        <n v="10551.41"/>
        <n v="9427.23"/>
        <n v="-151.42000000000007"/>
        <n v="24383.63"/>
        <n v="-2331.44"/>
        <n v="9762.0"/>
        <n v="1842.5699999999997"/>
        <n v="7894.530000000001"/>
        <n v="38025.19"/>
        <n v="4634.85"/>
        <n v="6478.82"/>
        <n v="331.25"/>
        <n v="13157.31"/>
        <n v="-772.5799999999999"/>
        <n v="5073.660000000001"/>
        <n v="-1774.5199999999995"/>
        <n v="8504.199999999999"/>
        <n v="-1476.7699999999995"/>
        <n v="10216.66"/>
        <n v="-2439.21"/>
        <n v="8886.140000000001"/>
        <n v="4997.7300000000005"/>
        <n v="-3051.6600000000003"/>
        <n v="-410.15000000000055"/>
        <n v="1466.33"/>
        <n v="949.9099999999999"/>
        <n v="-509.6099999999997"/>
        <n v="7443.600000000001"/>
        <n v="2116.3200000000006"/>
        <n v="3497.8199999999997"/>
        <n v="16024.14"/>
        <n v="9047.19"/>
        <n v="-4703.29"/>
        <n v="8908.310000000001"/>
        <n v="164.65000000000055"/>
        <n v="2864.33"/>
        <n v="1652.5899999999992"/>
        <n v="-1565.2399999999998"/>
        <n v="-2265.5499999999993"/>
        <n v="-1565.1499999999996"/>
        <n v="2550.460000000001"/>
        <n v="10604.41"/>
        <n v="11873.419999999998"/>
        <n v="-5139.599999999999"/>
        <n v="-244.01999999999953"/>
        <n v="2347.0"/>
        <n v="25624.44"/>
        <n v="4107.73"/>
        <n v="498.89999999999964"/>
        <n v="249.53999999999905"/>
        <n v="-20.950000000000273"/>
        <n v="9125.86"/>
        <n v="-4897.619999999999"/>
        <n v="10627.669999999998"/>
        <n v="-1215.62"/>
        <n v="-3541.6800000000003"/>
        <n v="2816.6500000000005"/>
        <n v="1872.8799999999992"/>
        <n v="11922.94"/>
        <n v="-1825.5700000000006"/>
        <n v="27.38000000000011"/>
        <n v="-4949.889999999999"/>
        <n v="-7637.960000000001"/>
        <n v="13544.22"/>
        <n v="4117.579999999999"/>
        <n v="-350.5699999999997"/>
        <n v="2499.22"/>
        <n v="-5371.78"/>
        <n v="18804.71"/>
        <n v="25022.200000000004"/>
        <n v="702.7999999999993"/>
        <n v="-1303.9800000000005"/>
        <n v="1357.42"/>
        <n v="30613.930000000004"/>
        <n v="26640.95"/>
        <n v="-5297.73"/>
        <n v="2786.7300000000005"/>
        <n v="-1629.62"/>
        <n v="17652.910000000003"/>
        <n v="12129.240000000002"/>
        <n v="13763.119999999999"/>
        <n v="10138.95"/>
        <n v="22385.06"/>
        <n v="12741.339999999998"/>
        <n v="12017.359999999999"/>
        <n v="30142.920000000002"/>
        <n v="1998.0"/>
        <n v="13502.73"/>
        <n v="7189.26"/>
        <n v="28376.28"/>
        <n v="2813.9700000000003"/>
        <n v="5196.510000000001"/>
        <n v="17310.309999999998"/>
        <n v="32579.899999999998"/>
        <n v="776.7799999999997"/>
        <n v="-6104.46"/>
        <n v="4723.4000000000015"/>
        <n v="-1801.19"/>
        <n v="16434.52"/>
        <n v="10154.65"/>
        <n v="2666.6000000000004"/>
        <n v="-1128.3500000000004"/>
        <n v="8854.95"/>
        <n v="17020.18"/>
        <n v="3116.9799999999996"/>
        <n v="5163.300000000001"/>
        <n v="10477.42"/>
        <n v="47516.65"/>
        <n v="17821.71"/>
        <n v="10459.09"/>
        <n v="-1966.1300000000006"/>
        <n v="-629.21"/>
        <n v="7541.839999999999"/>
        <n v="22030.29"/>
        <n v="27221.54"/>
        <n v="-2163.5200000000004"/>
        <n v="-1834.5900000000001"/>
        <n v="-7021.59"/>
        <n v="-1115.9899999999998"/>
        <n v="-5138.67"/>
        <n v="11991.66"/>
        <n v="-2407.3999999999996"/>
        <n v="18289.100000000002"/>
        <n v="6734.710000000001"/>
        <n v="36138.83"/>
        <n v="32365.629999999997"/>
        <n v="16481.97"/>
        <n v="3103.24"/>
        <n v="373.0199999999995"/>
        <n v="3167.8200000000006"/>
        <n v="1842.2200000000003"/>
        <n v="-2631.27"/>
        <n v="5199.629999999999"/>
        <n v="10682.84"/>
        <n v="32326.06"/>
        <n v="11496.76"/>
        <n v="15222.58"/>
        <n v="-2837.0799999999995"/>
        <n v="-6350.699999999999"/>
        <n v="16604.45"/>
        <n v="1199.6400000000003"/>
        <n v="9974.35"/>
        <n v="3384.4800000000005"/>
        <n v="22883.36"/>
        <n v="19631.13"/>
        <n v="-572.8500000000004"/>
        <n v="37428.32"/>
        <n v="3402.8099999999995"/>
        <n v="9734.02"/>
        <n v="-4537.5599999999995"/>
        <n v="3638.449999999999"/>
        <n v="-5381.34"/>
        <n v="41241.78999999999"/>
        <n v="-4375.42"/>
        <n v="2907.38"/>
        <n v="19634.51"/>
        <n v="653.7700000000004"/>
        <n v="56783.97"/>
        <n v="6966.419999999999"/>
        <n v="-950.4299999999998"/>
        <n v="1638.62"/>
        <n v="222.73999999999978"/>
        <n v="3330.7000000000007"/>
        <n v="-2054.1600000000008"/>
        <n v="-2114.5"/>
        <n v="2951.6900000000005"/>
        <n v="7720.6"/>
        <n v="-3631.3900000000003"/>
        <n v="25027.559999999998"/>
        <n v="10516.019999999999"/>
        <n v="-1107.2900000000009"/>
        <n v="13968.36"/>
        <n v="26559.449999999997"/>
        <n v="13203.53"/>
        <n v="1044.7700000000004"/>
        <n v="16663.5"/>
        <n v="41997.649999999994"/>
        <n v="-5401.92"/>
        <n v="9225.69"/>
        <n v="1255.5899999999997"/>
        <n v="8048.51"/>
        <n v="-3366.26"/>
        <n v="-2754.1"/>
        <n v="690.5500000000011"/>
        <n v="16582.019999999997"/>
        <n v="-121.3700000000008"/>
        <n v="8470.43"/>
        <n v="17740.14"/>
        <n v="13817.48"/>
        <n v="4187.509999999999"/>
        <n v="8226.13"/>
        <n v="6787.45"/>
        <n v="12016.919999999998"/>
        <n v="-2972.040000000001"/>
        <n v="5550.540000000001"/>
        <n v="-405.5099999999993"/>
        <n v="7349.900000000001"/>
        <n v="4012.71"/>
        <n v="-1543.5100000000002"/>
        <n v="16695.03"/>
        <n v="7787.56"/>
      </sharedItems>
    </cacheField>
    <cacheField name="Profit Margin%" numFmtId="0">
      <sharedItems containsSemiMixedTypes="0" containsString="0" containsNumber="1">
        <n v="86.15264807760532"/>
        <n v="-242.6686175750584"/>
        <n v="90.54491250362047"/>
        <n v="60.29012549363865"/>
        <n v="29.19359991678555"/>
        <n v="87.31345540091742"/>
        <n v="40.949875827448764"/>
        <n v="59.75467509500696"/>
        <n v="21.672008520908967"/>
        <n v="-343.55288844895375"/>
        <n v="64.89101238171232"/>
        <n v="-55.18717857069009"/>
        <n v="21.625523420898528"/>
        <n v="-151.65536379420362"/>
        <n v="-81.48376286103556"/>
        <n v="-26.10805486823456"/>
        <n v="91.2902935234778"/>
        <n v="43.10199220644495"/>
        <n v="44.927794184235175"/>
        <n v="6.627254040800463"/>
        <n v="59.71495294622392"/>
        <n v="55.925667693317585"/>
        <n v="-105.01700007907016"/>
        <n v="-48.022155450168356"/>
        <n v="-5.527556332737149"/>
        <n v="74.32799885483497"/>
        <n v="79.75572575536744"/>
        <n v="-36.15035058499372"/>
        <n v="78.37680746664284"/>
        <n v="28.12357440381285"/>
        <n v="59.975311054989476"/>
        <n v="47.23498237781695"/>
        <n v="34.567168097284096"/>
        <n v="94.73565254891162"/>
        <n v="86.6716315590659"/>
        <n v="-33.32734710773986"/>
        <n v="39.72407844460324"/>
        <n v="-43.82493017548957"/>
        <n v="70.6267968428055"/>
        <n v="45.692153958455876"/>
        <n v="-51.966883912930584"/>
        <n v="92.60887713111262"/>
        <n v="-206.6716925488529"/>
        <n v="-4.183927730444841"/>
        <n v="26.127539833513737"/>
        <n v="73.56647304352762"/>
        <n v="57.58536168352132"/>
        <n v="40.33142024424885"/>
        <n v="79.00994008792217"/>
        <n v="-274.8788761398337"/>
        <n v="-3.7485869204466407"/>
        <n v="2.1669899459225137"/>
        <n v="-32.17208124706032"/>
        <n v="-36.08696775908667"/>
        <n v="-106.93364467569795"/>
        <n v="0.3910695935539483"/>
        <n v="80.19452941535694"/>
        <n v="71.7086253366706"/>
        <n v="59.1453751292224"/>
        <n v="19.074202814906148"/>
        <n v="82.44027625857446"/>
        <n v="-6.625534590693305"/>
        <n v="60.79160584654629"/>
        <n v="90.9391334197417"/>
        <n v="-32.13683086830008"/>
        <n v="53.86013600548218"/>
        <n v="63.637064885124516"/>
        <n v="91.25989974117311"/>
        <n v="-39.43907801265407"/>
        <n v="-208.52996565857987"/>
        <n v="46.054235961651344"/>
        <n v="-22.894254416567403"/>
        <n v="78.97801910972474"/>
        <n v="23.322362115516686"/>
        <n v="75.75582289058408"/>
        <n v="49.471875632756486"/>
        <n v="34.81342733063487"/>
        <n v="-10.543294132409432"/>
        <n v="80.40115179839378"/>
        <n v="54.583072009919476"/>
        <n v="-32.96255515048706"/>
        <n v="88.74013312182545"/>
        <n v="70.49495387170738"/>
        <n v="62.4710856354944"/>
        <n v="-118.93031307510418"/>
        <n v="-49.47979636970247"/>
        <n v="64.10856586965582"/>
        <n v="-217.84930949674796"/>
        <n v="8.264493639261344"/>
        <n v="-26.65401497410631"/>
        <n v="73.73851951500852"/>
        <n v="-183.91738980181287"/>
        <n v="48.35829085779831"/>
        <n v="-279.26459549019364"/>
        <n v="-56.029880818107905"/>
        <n v="76.9889684175011"/>
        <n v="-207.75633202058458"/>
        <n v="84.43484378127326"/>
        <n v="79.68654974335905"/>
        <n v="-28.126448129268844"/>
        <n v="67.85205946965317"/>
        <n v="42.48730676177603"/>
        <n v="79.15802950431238"/>
        <n v="64.99900247080309"/>
        <n v="73.3525792062926"/>
        <n v="28.299405820178418"/>
        <n v="82.33093865717342"/>
        <n v="26.950839824242394"/>
        <n v="20.582347939404595"/>
        <n v="48.25623917416273"/>
        <n v="-69.41099814435589"/>
        <n v="56.873374560931644"/>
        <n v="32.434011795835254"/>
        <n v="73.2792540021843"/>
        <n v="47.14841257744224"/>
        <n v="64.86581552576104"/>
        <n v="11.595010379124588"/>
        <n v="-71.7005102851053"/>
        <n v="76.34111854064368"/>
        <n v="58.34735188896762"/>
        <n v="63.666926291173255"/>
        <n v="42.99586224791606"/>
        <n v="-166.83175792758"/>
        <n v="48.78529218647406"/>
        <n v="67.6644638253852"/>
        <n v="-228.80558289344188"/>
        <n v="-31.283932802177855"/>
        <n v="64.9750400259044"/>
        <n v="-28.980606890257814"/>
        <n v="61.86805671246569"/>
        <n v="-8.667761658166063"/>
        <n v="25.092670788868094"/>
        <n v="-65.32670962591469"/>
        <n v="30.390407522496275"/>
        <n v="38.61767636579999"/>
        <n v="-563.5902161689366"/>
        <n v="51.27042314640078"/>
        <n v="-3.8724267386097084"/>
        <n v="55.636143869432864"/>
        <n v="-35.57748528679577"/>
        <n v="64.16602904480536"/>
        <n v="83.38434680053204"/>
        <n v="53.036241389434046"/>
        <n v="69.20470698069495"/>
        <n v="-143.36501231960577"/>
        <n v="9.054112496553497"/>
        <n v="-62.27704567868807"/>
        <n v="-82.65103194043606"/>
        <n v="83.12461756938205"/>
        <n v="51.5019452954287"/>
        <n v="-58.928901595729144"/>
        <n v="-70.92352535765865"/>
        <n v="75.26876028315992"/>
        <n v="-44.77420872405198"/>
        <n v="64.33469555538353"/>
        <n v="92.74137729543654"/>
        <n v="-108.64579923279025"/>
        <n v="-174.65013304435152"/>
        <n v="-32.33473846081819"/>
        <n v="65.77142346088104"/>
        <n v="59.61930666764685"/>
        <n v="-47.400549103464925"/>
        <n v="81.61605858441057"/>
        <n v="17.94724112311637"/>
        <n v="79.83776764004178"/>
        <n v="-26.450212757891933"/>
        <n v="-216.6827525732546"/>
        <n v="33.45591765512233"/>
        <n v="-64.42729799197586"/>
        <n v="-167.60810909766855"/>
        <n v="87.63753505966208"/>
        <n v="43.88930830629106"/>
        <n v="10.246716980094996"/>
        <n v="64.56237134549706"/>
        <n v="73.73618046842087"/>
        <n v="1.4921296312005208"/>
        <n v="72.44147223825058"/>
        <n v="63.45174001001875"/>
        <n v="43.91650606419693"/>
        <n v="-85.32804463283462"/>
        <n v="-125.34794434787557"/>
        <n v="-5.949416212050986"/>
        <n v="42.61956239469028"/>
        <n v="-252.7575748265131"/>
        <n v="9.725957802880888"/>
        <n v="-46.5978263474489"/>
        <n v="-12.255964696798582"/>
        <n v="31.050550124704664"/>
        <n v="-97.33688366133131"/>
        <n v="-18.495670166296268"/>
        <n v="-245.34757303154882"/>
        <n v="68.13655662066355"/>
        <n v="26.929495202336255"/>
        <n v="85.76269270255855"/>
        <n v="9.955977393544694"/>
        <n v="61.669528003781934"/>
        <n v="41.48532963910201"/>
        <n v="21.69231277686721"/>
        <n v="38.82819181023322"/>
        <n v="84.68803425333137"/>
        <n v="58.1627477839539"/>
        <n v="64.1930310885731"/>
        <n v="53.950314678262416"/>
        <n v="-29.081489721925596"/>
        <n v="81.49196332770288"/>
        <n v="37.077725184066686"/>
        <n v="-87.44308427654849"/>
        <n v="39.27300624485069"/>
        <n v="-84.10203214575392"/>
        <n v="28.783576501409097"/>
        <n v="46.778781298581535"/>
        <n v="57.82519436748795"/>
        <n v="-45.23599290648581"/>
        <n v="39.41353147011558"/>
        <n v="39.727233786346105"/>
        <n v="-21.573666243080833"/>
        <n v="-25.182267259325258"/>
        <n v="83.87729199635216"/>
        <n v="79.3427942844702"/>
        <n v="28.680102465014002"/>
        <n v="-71.40754113111271"/>
        <n v="69.25004289827072"/>
        <n v="42.4770804278416"/>
        <n v="88.90605948608452"/>
        <n v="-12.261796583830476"/>
        <n v="-2.3049806220092837"/>
        <n v="-56.35668417187977"/>
        <n v="33.258879405847864"/>
        <n v="-49.0639133529983"/>
        <n v="-232.7205403857667"/>
        <n v="65.59367077997409"/>
        <n v="56.475662613674615"/>
        <n v="11.338475926718043"/>
        <n v="9.118566795587252"/>
        <n v="33.91897863693954"/>
        <n v="52.92476825967816"/>
        <n v="67.28287771900885"/>
        <n v="-8.654904864621226"/>
        <n v="85.23068099348602"/>
        <n v="42.70083515435098"/>
        <n v="-54.86448547673035"/>
        <n v="68.24490580622619"/>
        <n v="-108.71238716781748"/>
        <n v="37.61404652761658"/>
        <n v="32.344899231248704"/>
        <n v="61.83945955782003"/>
        <n v="-38.72342660753548"/>
        <n v="83.18069092555642"/>
        <n v="70.14875315180542"/>
        <n v="-51.89841259264041"/>
        <n v="87.75735789843337"/>
        <n v="55.36389857095657"/>
        <n v="61.795280337377434"/>
        <n v="-309.0528646868434"/>
        <n v="42.28665891490397"/>
        <n v="26.406023379901395"/>
        <n v="64.24409305672476"/>
        <n v="-125.37731131421823"/>
        <n v="36.67338292358926"/>
        <n v="42.68916130360408"/>
        <n v="-42.263704606312245"/>
        <n v="31.93969881740199"/>
        <n v="18.42260042547866"/>
        <n v="42.34734130210357"/>
        <n v="51.52679003359209"/>
        <n v="31.79365059540412"/>
        <n v="48.1698273138339"/>
        <n v="70.73586274366261"/>
        <n v="84.23932159764293"/>
        <n v="-264.32951136316933"/>
        <n v="-329.7017927126911"/>
        <n v="70.24422961984479"/>
        <n v="-180.89311765486028"/>
        <n v="-7.101051800956533"/>
        <n v="76.66928444322461"/>
        <n v="1.5520772634700506"/>
        <n v="5.41850569417406"/>
        <n v="63.194409015413044"/>
        <n v="61.63804363168608"/>
        <n v="80.22630331536374"/>
        <n v="90.00922496095887"/>
        <n v="-18.35148641076133"/>
        <n v="15.22248143129149"/>
        <n v="-156.14613018205267"/>
        <n v="-60.30359742150135"/>
        <n v="54.06107191442039"/>
        <n v="-80.47656890650676"/>
        <n v="-27.054093567251464"/>
        <n v="54.42353551903704"/>
        <n v="24.600178346709345"/>
        <n v="34.136072392984396"/>
        <n v="-62.50969863841416"/>
        <n v="3.0175080988606973"/>
        <n v="54.570565594295175"/>
        <n v="73.76780446988614"/>
        <n v="46.79083638539886"/>
        <n v="22.566237880387828"/>
        <n v="-1.1980474991227872"/>
        <n v="37.92578144799013"/>
        <n v="58.5959292655607"/>
        <n v="72.3676867393115"/>
        <n v="-2.3626593102070887"/>
        <n v="75.59474722622839"/>
        <n v="-72.93088670474664"/>
        <n v="58.941017925024994"/>
        <n v="25.52180941022966"/>
        <n v="52.90704493043935"/>
        <n v="84.73472314669208"/>
        <n v="49.0132006814483"/>
        <n v="49.072155265916514"/>
        <n v="7.348993437487521"/>
        <n v="69.8177945483229"/>
        <n v="-29.845706912670266"/>
        <n v="44.976862932822726"/>
        <n v="-28.829279625426658"/>
        <n v="76.66877326536923"/>
        <n v="-19.819649337542135"/>
        <n v="61.01822664393961"/>
        <n v="-81.6425508841338"/>
        <n v="75.85137257579898"/>
        <n v="58.733874635537674"/>
        <n v="-150.75658398502148"/>
        <n v="-6.092027264477021"/>
        <n v="18.816012852576485"/>
        <n v="11.90897670884933"/>
        <n v="-12.069259517144351"/>
        <n v="54.00746161447746"/>
        <n v="23.251306864250925"/>
        <n v="31.288307338907913"/>
        <n v="75.20976554414662"/>
        <n v="51.069691985156396"/>
        <n v="-265.07862255537395"/>
        <n v="52.924939861466015"/>
        <n v="3.0477759472817234"/>
        <n v="23.566721764536005"/>
        <n v="17.726802216131844"/>
        <n v="-53.42134273495813"/>
        <n v="-26.73808467247011"/>
        <n v="-22.392074108516034"/>
        <n v="25.385819749392603"/>
        <n v="60.20761854690863"/>
        <n v="52.80182649701424"/>
        <n v="-117.42798979165188"/>
        <n v="-3.5387629556690183"/>
        <n v="37.84391280581897"/>
        <n v="78.29872479528065"/>
        <n v="57.0457840561274"/>
        <n v="6.1266443328846885"/>
        <n v="2.680018429556875"/>
        <n v="-0.6266132674517111"/>
        <n v="51.06284642526615"/>
        <n v="-107.6949125708053"/>
        <n v="57.969499067539175"/>
        <n v="-18.31851019134963"/>
        <n v="-84.11242919739233"/>
        <n v="28.359743290783403"/>
        <n v="27.82390632265616"/>
        <n v="75.99229301827253"/>
        <n v="-24.74352701352812"/>
        <n v="0.406150705942737"/>
        <n v="-237.77428714164932"/>
        <n v="-335.0746661519294"/>
        <n v="68.59632045265542"/>
        <n v="45.13875718725505"/>
        <n v="-5.337139377331197"/>
        <n v="40.51945946384131"/>
        <n v="-235.3772675488564"/>
        <n v="64.34306107295976"/>
        <n v="74.66302395660736"/>
        <n v="7.736995011906026"/>
        <n v="-20.859674942411065"/>
        <n v="17.038566542190985"/>
        <n v="88.77578509796416"/>
        <n v="86.47463533609324"/>
        <n v="-128.45005879714378"/>
        <n v="32.97733609137513"/>
        <n v="-49.464715541916696"/>
        <n v="76.79468746669336"/>
        <n v="65.44586915185904"/>
        <n v="69.27213802565811"/>
        <n v="56.10141131241099"/>
        <n v="78.51453768968304"/>
        <n v="59.812404088409764"/>
        <n v="56.68060724775008"/>
        <n v="79.20450018761292"/>
        <n v="22.183559517557544"/>
        <n v="64.71498572723979"/>
        <n v="67.16906952387271"/>
        <n v="86.80721408064218"/>
        <n v="34.87669086825791"/>
        <n v="39.35098451104613"/>
        <n v="78.39200098905293"/>
        <n v="82.23401580876822"/>
        <n v="9.508688775834967"/>
        <n v="-318.7291476308576"/>
        <n v="32.927473673497"/>
        <n v="-53.46141745371222"/>
        <n v="71.9901983588296"/>
        <n v="74.23586691912362"/>
        <n v="21.009638149834508"/>
        <n v="-20.224225695440214"/>
        <n v="63.98538335807016"/>
        <n v="70.07713343912042"/>
        <n v="25.18395229804029"/>
        <n v="54.534047737491335"/>
        <n v="73.64943375085319"/>
        <n v="87.66353205626801"/>
        <n v="82.53126231540496"/>
        <n v="63.98151348408428"/>
        <n v="-57.46095485258705"/>
        <n v="-8.483955304882242"/>
        <n v="70.18733771974723"/>
        <n v="72.0991676141217"/>
        <n v="85.65442001519163"/>
        <n v="-32.38031666115401"/>
        <n v="-42.04920512679466"/>
        <n v="-307.6136861473758"/>
        <n v="-26.541236794665064"/>
        <n v="-243.8532136213507"/>
        <n v="69.44175170511203"/>
        <n v="-90.2564025659002"/>
        <n v="78.62931482938448"/>
        <n v="55.38321738129307"/>
        <n v="87.6660286779564"/>
        <n v="82.49521962698051"/>
        <n v="83.49211656092095"/>
        <n v="44.97775201101529"/>
        <n v="4.641815412489666"/>
        <n v="38.5526362227953"/>
        <n v="29.4281524458232"/>
        <n v="-118.44191270137784"/>
        <n v="38.97683037350706"/>
        <n v="75.48840663584336"/>
        <n v="83.40571051723778"/>
        <n v="78.02856514574414"/>
        <n v="62.26317315758625"/>
        <n v="-102.12560699488485"/>
        <n v="-245.95097014058322"/>
        <n v="73.05733860085172"/>
        <n v="15.194125201699215"/>
        <n v="71.32427235562776"/>
        <n v="40.58324140246535"/>
        <n v="83.77282593296155"/>
        <n v="75.7903673401313"/>
        <n v="-12.78343475728546"/>
        <n v="85.21496171415666"/>
        <n v="54.53780515950354"/>
        <n v="59.53641934495394"/>
        <n v="-147.89093208351528"/>
        <n v="37.22309920192005"/>
        <n v="-156.04962186238575"/>
        <n v="84.36931864094373"/>
        <n v="-103.05459838473008"/>
        <n v="27.478429841814116"/>
        <n v="72.94258511852398"/>
        <n v="14.112499352409907"/>
        <n v="93.86770042857412"/>
        <n v="60.71721481145765"/>
        <n v="-23.353121268262473"/>
        <n v="21.466787540873646"/>
        <n v="5.53425678613578"/>
        <n v="41.00175913513088"/>
        <n v="-41.02043872874504"/>
        <n v="-64.78009386909795"/>
        <n v="42.437203738661744"/>
        <n v="48.55671354457217"/>
        <n v="-96.15246114332619"/>
        <n v="88.08755693868888"/>
        <n v="59.338386152446766"/>
        <n v="-15.123503581842904"/>
        <n v="79.05046807672588"/>
        <n v="89.06329694606495"/>
        <n v="82.81273520055394"/>
        <n v="10.906834087758275"/>
        <n v="85.70538045761997"/>
        <n v="84.30424132275135"/>
        <n v="-214.09343838678484"/>
        <n v="59.588665501033766"/>
        <n v="28.06791254973845"/>
        <n v="54.10726650577139"/>
        <n v="-71.00301412568209"/>
        <n v="-74.0104750311053"/>
        <n v="7.722018515847175"/>
        <n v="69.18102234425005"/>
        <n v="-1.395180952796981"/>
        <n v="46.921507128715724"/>
        <n v="79.76918379772061"/>
        <n v="68.72285959129796"/>
        <n v="33.965240765329334"/>
        <n v="56.99702616860765"/>
        <n v="48.807260416606745"/>
        <n v="69.65530912973466"/>
        <n v="-50.10900078399637"/>
        <n v="46.74552276201265"/>
        <n v="-8.021339599912158"/>
        <n v="58.971301847311196"/>
        <n v="42.8773382286629"/>
        <n v="-46.36028329598905"/>
        <n v="69.78792368028117"/>
        <n v="57.70871311487558"/>
      </sharedItems>
    </cacheField>
    <cacheField name="Year" numFmtId="0">
      <sharedItems containsSemiMixedTypes="0" containsString="0" containsNumber="1" containsInteger="1">
        <n v="2025.0"/>
        <n v="2024.0"/>
      </sharedItems>
    </cacheField>
    <cacheField name="Month" numFmtId="0">
      <sharedItems containsSemiMixedTypes="0" containsString="0" containsNumber="1" containsInteger="1">
        <n v="5.0"/>
        <n v="1.0"/>
        <n v="4.0"/>
        <n v="3.0"/>
        <n v="2.0"/>
        <n v="12.0"/>
        <n v="6.0"/>
      </sharedItems>
    </cacheField>
    <cacheField name="YearMonth" numFmtId="0">
      <sharedItems>
        <s v="2025-05"/>
        <s v="2025-01"/>
        <s v="2025-04"/>
        <s v="2025-03"/>
        <s v="2025-02"/>
        <s v="2024-12"/>
        <s v="2025-0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501" sheet="Sheet1"/>
  </cacheSource>
  <cacheFields>
    <cacheField name="Campaign_ID" numFmtId="0">
      <sharedItems>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Date" numFmtId="14">
      <sharedItems containsSemiMixedTypes="0" containsDate="1" containsString="0">
        <d v="2025-05-03T00:00:00Z"/>
        <d v="2025-01-17T00:00:00Z"/>
        <d v="2025-04-04T00:00:00Z"/>
        <d v="2025-05-30T00:00:00Z"/>
        <d v="2025-05-14T00:00:00Z"/>
        <d v="2025-04-17T00:00:00Z"/>
        <d v="2025-03-30T00:00:00Z"/>
        <d v="2025-04-09T00:00:00Z"/>
        <d v="2025-02-02T00:00:00Z"/>
        <d v="2025-03-28T00:00:00Z"/>
        <d v="2025-04-07T00:00:00Z"/>
        <d v="2025-05-28T00:00:00Z"/>
        <d v="2025-01-15T00:00:00Z"/>
        <d v="2024-12-20T00:00:00Z"/>
        <d v="2025-02-03T00:00:00Z"/>
        <d v="2025-03-09T00:00:00Z"/>
        <d v="2025-05-26T00:00:00Z"/>
        <d v="2025-01-12T00:00:00Z"/>
        <d v="2025-06-06T00:00:00Z"/>
        <d v="2025-05-07T00:00:00Z"/>
        <d v="2025-06-02T00:00:00Z"/>
        <d v="2025-04-19T00:00:00Z"/>
        <d v="2025-02-15T00:00:00Z"/>
        <d v="2025-04-06T00:00:00Z"/>
        <d v="2025-03-05T00:00:00Z"/>
        <d v="2025-06-01T00:00:00Z"/>
        <d v="2025-01-22T00:00:00Z"/>
        <d v="2025-04-21T00:00:00Z"/>
        <d v="2025-05-25T00:00:00Z"/>
        <d v="2025-02-23T00:00:00Z"/>
        <d v="2024-12-27T00:00:00Z"/>
        <d v="2025-04-08T00:00:00Z"/>
        <d v="2025-02-13T00:00:00Z"/>
        <d v="2025-04-12T00:00:00Z"/>
        <d v="2025-03-06T00:00:00Z"/>
        <d v="2025-04-01T00:00:00Z"/>
        <d v="2025-01-14T00:00:00Z"/>
        <d v="2024-12-16T00:00:00Z"/>
        <d v="2025-04-16T00:00:00Z"/>
        <d v="2025-05-08T00:00:00Z"/>
        <d v="2025-05-20T00:00:00Z"/>
        <d v="2025-01-05T00:00:00Z"/>
        <d v="2025-03-10T00:00:00Z"/>
        <d v="2025-02-05T00:00:00Z"/>
        <d v="2025-05-29T00:00:00Z"/>
        <d v="2025-03-11T00:00:00Z"/>
        <d v="2025-01-10T00:00:00Z"/>
        <d v="2025-01-25T00:00:00Z"/>
        <d v="2025-01-27T00:00:00Z"/>
        <d v="2025-02-16T00:00:00Z"/>
        <d v="2025-04-25T00:00:00Z"/>
        <d v="2025-04-22T00:00:00Z"/>
        <d v="2025-03-31T00:00:00Z"/>
        <d v="2024-12-19T00:00:00Z"/>
        <d v="2025-02-22T00:00:00Z"/>
        <d v="2025-03-01T00:00:00Z"/>
        <d v="2025-03-18T00:00:00Z"/>
        <d v="2024-12-28T00:00:00Z"/>
        <d v="2025-04-10T00:00:00Z"/>
        <d v="2025-01-30T00:00:00Z"/>
        <d v="2025-02-10T00:00:00Z"/>
        <d v="2025-03-08T00:00:00Z"/>
        <d v="2025-02-24T00:00:00Z"/>
        <d v="2025-06-10T00:00:00Z"/>
        <d v="2024-12-10T00:00:00Z"/>
        <d v="2025-02-25T00:00:00Z"/>
        <d v="2025-03-15T00:00:00Z"/>
        <d v="2025-02-18T00:00:00Z"/>
        <d v="2024-12-13T00:00:00Z"/>
        <d v="2025-05-24T00:00:00Z"/>
        <d v="2025-04-20T00:00:00Z"/>
        <d v="2025-05-02T00:00:00Z"/>
        <d v="2025-06-05T00:00:00Z"/>
        <d v="2025-03-26T00:00:00Z"/>
        <d v="2025-01-11T00:00:00Z"/>
        <d v="2025-03-04T00:00:00Z"/>
        <d v="2025-02-21T00:00:00Z"/>
        <d v="2025-04-05T00:00:00Z"/>
        <d v="2025-04-27T00:00:00Z"/>
        <d v="2025-02-28T00:00:00Z"/>
        <d v="2025-04-28T00:00:00Z"/>
        <d v="2024-12-14T00:00:00Z"/>
        <d v="2025-03-19T00:00:00Z"/>
        <d v="2025-03-03T00:00:00Z"/>
        <d v="2025-02-09T00:00:00Z"/>
        <d v="2025-01-16T00:00:00Z"/>
        <d v="2025-04-30T00:00:00Z"/>
        <d v="2025-01-23T00:00:00Z"/>
        <d v="2025-04-23T00:00:00Z"/>
        <d v="2025-01-28T00:00:00Z"/>
        <d v="2025-02-27T00:00:00Z"/>
        <d v="2024-12-24T00:00:00Z"/>
        <d v="2025-05-31T00:00:00Z"/>
        <d v="2025-05-10T00:00:00Z"/>
        <d v="2025-05-23T00:00:00Z"/>
        <d v="2025-06-08T00:00:00Z"/>
        <d v="2025-04-15T00:00:00Z"/>
        <d v="2025-05-12T00:00:00Z"/>
        <d v="2025-04-24T00:00:00Z"/>
        <d v="2025-02-12T00:00:00Z"/>
        <d v="2025-05-16T00:00:00Z"/>
        <d v="2025-01-06T00:00:00Z"/>
        <d v="2025-01-04T00:00:00Z"/>
        <d v="2025-05-01T00:00:00Z"/>
        <d v="2025-05-06T00:00:00Z"/>
        <d v="2025-03-23T00:00:00Z"/>
        <d v="2025-03-02T00:00:00Z"/>
        <d v="2025-05-04T00:00:00Z"/>
        <d v="2025-02-20T00:00:00Z"/>
        <d v="2024-12-11T00:00:00Z"/>
        <d v="2025-05-13T00:00:00Z"/>
        <d v="2025-02-08T00:00:00Z"/>
        <d v="2025-02-14T00:00:00Z"/>
        <d v="2025-01-08T00:00:00Z"/>
        <d v="2025-04-18T00:00:00Z"/>
        <d v="2025-03-13T00:00:00Z"/>
        <d v="2024-12-17T00:00:00Z"/>
        <d v="2025-05-27T00:00:00Z"/>
        <d v="2024-12-15T00:00:00Z"/>
        <d v="2025-06-09T00:00:00Z"/>
        <d v="2025-04-29T00:00:00Z"/>
        <d v="2024-12-12T00:00:00Z"/>
        <d v="2025-04-11T00:00:00Z"/>
        <d v="2024-12-21T00:00:00Z"/>
        <d v="2025-05-19T00:00:00Z"/>
        <d v="2025-01-01T00:00:00Z"/>
        <d v="2024-12-30T00:00:00Z"/>
        <d v="2025-02-01T00:00:00Z"/>
        <d v="2025-02-19T00:00:00Z"/>
        <d v="2025-01-18T00:00:00Z"/>
        <d v="2025-05-15T00:00:00Z"/>
        <d v="2025-04-02T00:00:00Z"/>
        <d v="2025-03-17T00:00:00Z"/>
        <d v="2025-03-14T00:00:00Z"/>
        <d v="2025-01-20T00:00:00Z"/>
        <d v="2025-05-22T00:00:00Z"/>
        <d v="2024-12-26T00:00:00Z"/>
        <d v="2025-04-26T00:00:00Z"/>
        <d v="2025-02-04T00:00:00Z"/>
        <d v="2024-12-25T00:00:00Z"/>
        <d v="2025-02-07T00:00:00Z"/>
        <d v="2025-05-21T00:00:00Z"/>
        <d v="2024-12-18T00:00:00Z"/>
        <d v="2024-12-31T00:00:00Z"/>
        <d v="2025-06-04T00:00:00Z"/>
        <d v="2025-03-22T00:00:00Z"/>
        <d v="2024-12-29T00:00:00Z"/>
        <d v="2025-03-29T00:00:00Z"/>
        <d v="2025-02-26T00:00:00Z"/>
        <d v="2025-03-27T00:00:00Z"/>
        <d v="2025-01-29T00:00:00Z"/>
        <d v="2025-04-13T00:00:00Z"/>
        <d v="2025-01-31T00:00:00Z"/>
        <d v="2025-03-21T00:00:00Z"/>
        <d v="2025-05-17T00:00:00Z"/>
        <d v="2025-05-11T00:00:00Z"/>
        <d v="2025-01-07T00:00:00Z"/>
        <d v="2025-02-06T00:00:00Z"/>
        <d v="2025-03-20T00:00:00Z"/>
        <d v="2025-06-07T00:00:00Z"/>
        <d v="2025-02-11T00:00:00Z"/>
        <d v="2025-05-09T00:00:00Z"/>
        <d v="2025-02-17T00:00:00Z"/>
        <d v="2025-05-18T00:00:00Z"/>
        <d v="2025-06-03T00:00:00Z"/>
        <d v="2025-01-02T00:00:00Z"/>
        <d v="2025-01-24T00:00:00Z"/>
        <d v="2025-04-03T00:00:00Z"/>
        <d v="2025-01-13T00:00:00Z"/>
        <d v="2025-04-14T00:00:00Z"/>
        <d v="2025-01-09T00:00:00Z"/>
        <d v="2025-05-05T00:00:00Z"/>
        <d v="2025-03-12T00:00:00Z"/>
      </sharedItems>
    </cacheField>
    <cacheField name="Channel" numFmtId="0">
      <sharedItems>
        <s v="Google Ads"/>
        <s v="Facebook"/>
        <s v="Twitter"/>
        <s v="LinkedIn"/>
        <s v="Instagram"/>
      </sharedItems>
    </cacheField>
    <cacheField name="Region" numFmtId="0">
      <sharedItems>
        <s v="East"/>
        <s v="South"/>
        <s v="North"/>
        <s v="West"/>
      </sharedItems>
    </cacheField>
    <cacheField name="Budget ($)" numFmtId="0">
      <sharedItems containsSemiMixedTypes="0" containsString="0" containsNumber="1">
        <n v="5621.78"/>
        <n v="7190.61"/>
        <n v="3406.59"/>
        <n v="7956.51"/>
        <n v="8827.1"/>
        <n v="4283.83"/>
        <n v="6023.62"/>
        <n v="3976.46"/>
        <n v="6192.49"/>
        <n v="6599.64"/>
        <n v="7252.81"/>
        <n v="9642.2"/>
        <n v="5132.3"/>
        <n v="6081.07"/>
        <n v="3240.72"/>
        <n v="7637.66"/>
        <n v="6826.97"/>
        <n v="8425.93"/>
        <n v="7185.3"/>
        <n v="4371.88"/>
        <n v="5720.74"/>
        <n v="5497.27"/>
        <n v="3986.47"/>
        <n v="9908.21"/>
        <n v="3038.65"/>
        <n v="8103.05"/>
        <n v="5509.26"/>
        <n v="7363.09"/>
        <n v="5176.88"/>
        <n v="7462.9"/>
        <n v="3837.16"/>
        <n v="6928.94"/>
        <n v="6659.13"/>
        <n v="3755.24"/>
        <n v="5200.49"/>
        <n v="4745.05"/>
        <n v="4601.59"/>
        <n v="4128.55"/>
        <n v="7433.83"/>
        <n v="4305.99"/>
        <n v="8652.08"/>
        <n v="3770.36"/>
        <n v="8726.1"/>
        <n v="6575.23"/>
        <n v="3839.06"/>
        <n v="5262.42"/>
        <n v="5545.41"/>
        <n v="4762.48"/>
        <n v="4993.88"/>
        <n v="6518.75"/>
        <n v="9357.86"/>
        <n v="6426.17"/>
        <n v="7704.95"/>
        <n v="8097.51"/>
        <n v="7434.71"/>
        <n v="8847.12"/>
        <n v="3285.43"/>
        <n v="3116.11"/>
        <n v="7516.21"/>
        <n v="5707.15"/>
        <n v="5387.46"/>
        <n v="9141.38"/>
        <n v="8720.56"/>
        <n v="4692.97"/>
        <n v="9302.93"/>
        <n v="5444.47"/>
        <n v="9209.6"/>
        <n v="3588.98"/>
        <n v="7245.0"/>
        <n v="7644.51"/>
        <n v="6841.14"/>
        <n v="4569.89"/>
        <n v="5277.8"/>
        <n v="8944.56"/>
        <n v="3655.72"/>
        <n v="4707.93"/>
        <n v="9244.33"/>
        <n v="6518.46"/>
        <n v="4366.7"/>
        <n v="3170.21"/>
        <n v="9583.21"/>
        <n v="5591.11"/>
        <n v="5997.29"/>
        <n v="8971.07"/>
        <n v="8957.96"/>
        <n v="6897.61"/>
        <n v="6990.43"/>
        <n v="9930.38"/>
        <n v="9141.61"/>
        <n v="7917.39"/>
        <n v="8665.53"/>
        <n v="9392.68"/>
        <n v="8588.07"/>
        <n v="8570.55"/>
        <n v="5629.08"/>
        <n v="3251.6"/>
        <n v="5005.79"/>
        <n v="3261.44"/>
        <n v="3889.42"/>
        <n v="4510.75"/>
        <n v="3361.77"/>
        <n v="7462.01"/>
        <n v="6614.1"/>
        <n v="4895.83"/>
        <n v="3177.46"/>
        <n v="7871.82"/>
        <n v="4095.06"/>
        <n v="8002.17"/>
        <n v="9684.06"/>
        <n v="7282.05"/>
        <n v="5491.81"/>
        <n v="3812.51"/>
        <n v="8988.22"/>
        <n v="3684.84"/>
        <n v="4212.41"/>
        <n v="7310.95"/>
        <n v="5622.29"/>
        <n v="8995.43"/>
        <n v="3493.98"/>
        <n v="7100.43"/>
        <n v="5717.19"/>
        <n v="6819.32"/>
        <n v="9728.33"/>
        <n v="3485.53"/>
        <n v="3661.1"/>
        <n v="5232.83"/>
        <n v="8701.28"/>
        <n v="7877.16"/>
        <n v="8145.5"/>
        <n v="4242.08"/>
        <n v="9933.54"/>
        <n v="8434.89"/>
        <n v="9008.89"/>
        <n v="8281.8"/>
        <n v="6536.77"/>
        <n v="9268.66"/>
        <n v="9337.67"/>
        <n v="9650.43"/>
        <n v="7422.86"/>
        <n v="5300.65"/>
        <n v="8541.05"/>
        <n v="6460.94"/>
        <n v="6090.71"/>
        <n v="3819.47"/>
        <n v="7327.53"/>
        <n v="7906.78"/>
        <n v="7943.7"/>
        <n v="9906.48"/>
        <n v="8689.6"/>
        <n v="8273.65"/>
        <n v="8440.03"/>
        <n v="9344.48"/>
        <n v="3079.48"/>
        <n v="3831.73"/>
        <n v="8222.31"/>
        <n v="5624.09"/>
        <n v="4565.17"/>
        <n v="9789.15"/>
        <n v="6693.91"/>
        <n v="6876.98"/>
        <n v="7405.79"/>
        <n v="7392.91"/>
        <n v="3318.12"/>
        <n v="9231.85"/>
        <n v="4941.67"/>
        <n v="5473.47"/>
        <n v="9820.76"/>
        <n v="6752.67"/>
        <n v="7793.12"/>
        <n v="8757.76"/>
        <n v="7293.91"/>
        <n v="9062.45"/>
        <n v="5635.24"/>
        <n v="4052.92"/>
        <n v="9789.4"/>
        <n v="6280.85"/>
        <n v="3394.63"/>
        <n v="9998.02"/>
        <n v="8382.91"/>
        <n v="4731.44"/>
        <n v="9678.36"/>
        <n v="7701.9"/>
        <n v="3794.9"/>
        <n v="8406.23"/>
        <n v="6863.35"/>
        <n v="5824.38"/>
        <n v="8285.96"/>
        <n v="4490.75"/>
        <n v="5454.11"/>
        <n v="6062.32"/>
        <n v="6597.93"/>
        <n v="7354.61"/>
        <n v="4029.51"/>
        <n v="4807.71"/>
        <n v="6448.33"/>
        <n v="4681.02"/>
        <n v="3896.32"/>
        <n v="7486.12"/>
        <n v="9277.52"/>
        <n v="4206.24"/>
        <n v="4182.55"/>
        <n v="3620.92"/>
        <n v="4444.34"/>
        <n v="7832.76"/>
        <n v="7395.3"/>
        <n v="9446.11"/>
        <n v="8643.41"/>
        <n v="4465.45"/>
        <n v="7327.78"/>
        <n v="8232.3"/>
        <n v="7993.45"/>
        <n v="6724.79"/>
        <n v="6728.32"/>
        <n v="5640.99"/>
        <n v="4480.14"/>
        <n v="9233.69"/>
        <n v="8524.2"/>
        <n v="6759.75"/>
        <n v="6021.62"/>
        <n v="5541.58"/>
        <n v="5492.68"/>
        <n v="4660.59"/>
        <n v="4721.7"/>
        <n v="4995.67"/>
        <n v="3561.64"/>
        <n v="9876.65"/>
        <n v="9786.29"/>
        <n v="4805.32"/>
        <n v="9505.63"/>
        <n v="4959.85"/>
        <n v="5265.75"/>
        <n v="4696.87"/>
        <n v="5020.41"/>
        <n v="6367.98"/>
        <n v="5356.23"/>
        <n v="9929.72"/>
        <n v="4782.48"/>
        <n v="7169.47"/>
        <n v="5442.08"/>
        <n v="9755.19"/>
        <n v="9568.38"/>
        <n v="8187.84"/>
        <n v="3978.41"/>
        <n v="4145.59"/>
        <n v="7656.38"/>
        <n v="9140.4"/>
        <n v="6073.94"/>
        <n v="5109.65"/>
        <n v="4625.49"/>
        <n v="6804.87"/>
        <n v="3818.29"/>
        <n v="5344.34"/>
        <n v="7340.51"/>
        <n v="8520.18"/>
        <n v="4739.42"/>
        <n v="6989.23"/>
        <n v="5394.57"/>
        <n v="8925.17"/>
        <n v="8581.07"/>
        <n v="8055.77"/>
        <n v="7857.64"/>
        <n v="5419.87"/>
        <n v="7083.74"/>
        <n v="9630.98"/>
        <n v="6541.22"/>
        <n v="9104.87"/>
        <n v="7876.56"/>
        <n v="4067.77"/>
        <n v="5968.91"/>
        <n v="9478.98"/>
        <n v="9893.89"/>
        <n v="9445.89"/>
        <n v="7138.93"/>
        <n v="5346.38"/>
        <n v="5334.49"/>
        <n v="9438.99"/>
        <n v="8162.51"/>
        <n v="6167.08"/>
        <n v="6488.57"/>
        <n v="5536.76"/>
        <n v="3091.66"/>
        <n v="9727.49"/>
        <n v="3597.45"/>
        <n v="7167.7"/>
        <n v="4469.34"/>
        <n v="4334.81"/>
        <n v="6953.89"/>
        <n v="6173.02"/>
        <n v="5805.34"/>
        <n v="4273.5"/>
        <n v="5613.17"/>
        <n v="5861.14"/>
        <n v="8011.81"/>
        <n v="4553.81"/>
        <n v="3137.97"/>
        <n v="4249.81"/>
        <n v="3696.09"/>
        <n v="8989.88"/>
        <n v="7676.6"/>
        <n v="9274.35"/>
        <n v="4455.2"/>
        <n v="7081.29"/>
        <n v="8722.1"/>
        <n v="5657.85"/>
        <n v="7369.04"/>
        <n v="6052.89"/>
        <n v="8345.24"/>
        <n v="6412.02"/>
        <n v="5976.49"/>
        <n v="6791.44"/>
        <n v="3975.49"/>
        <n v="6679.83"/>
        <n v="3128.73"/>
        <n v="7035.62"/>
        <n v="7559.94"/>
        <n v="3076.97"/>
        <n v="9117.23"/>
        <n v="7655.26"/>
        <n v="5931.39"/>
        <n v="3328.76"/>
        <n v="3579.59"/>
        <n v="5725.07"/>
        <n v="8033.32"/>
        <n v="6332.35"/>
        <n v="8128.0"/>
        <n v="4835.85"/>
        <n v="6474.56"/>
        <n v="8396.39"/>
        <n v="8097.32"/>
        <n v="6043.79"/>
        <n v="8595.91"/>
        <n v="7131.61"/>
        <n v="9421.2"/>
        <n v="6122.04"/>
        <n v="9110.62"/>
        <n v="7611.48"/>
        <n v="4747.68"/>
        <n v="9913.68"/>
        <n v="7939.03"/>
        <n v="6975.62"/>
        <n v="7881.94"/>
        <n v="9797.41"/>
        <n v="9034.3"/>
        <n v="8802.41"/>
        <n v="4610.06"/>
        <n v="7874.02"/>
        <n v="3457.49"/>
        <n v="8535.06"/>
        <n v="9201.84"/>
        <n v="3170.81"/>
        <n v="9122.91"/>
        <n v="8591.48"/>
        <n v="8370.32"/>
        <n v="7392.54"/>
        <n v="8377.91"/>
        <n v="8163.08"/>
        <n v="5482.36"/>
        <n v="4635.25"/>
        <n v="9914.06"/>
        <n v="7757.53"/>
        <n v="8504.42"/>
        <n v="9153.83"/>
        <n v="7293.88"/>
        <n v="4621.7"/>
        <n v="7254.16"/>
        <n v="4235.7"/>
        <n v="8457.09"/>
        <n v="9783.72"/>
        <n v="9964.35"/>
        <n v="8307.67"/>
        <n v="8710.83"/>
        <n v="6758.82"/>
        <n v="3640.41"/>
        <n v="3906.6"/>
        <n v="9034.89"/>
        <n v="6856.0"/>
        <n v="5608.82"/>
        <n v="6471.13"/>
        <n v="7782.81"/>
        <n v="6466.03"/>
        <n v="8772.77"/>
        <n v="6960.12"/>
        <n v="8581.98"/>
        <n v="9071.06"/>
        <n v="7882.3"/>
        <n v="8269.02"/>
        <n v="9102.9"/>
        <n v="3902.09"/>
        <n v="4125.32"/>
        <n v="6552.27"/>
        <n v="7318.49"/>
        <n v="4818.63"/>
        <n v="8458.92"/>
        <n v="6788.87"/>
        <n v="7428.35"/>
        <n v="9560.6"/>
        <n v="5106.74"/>
        <n v="7075.19"/>
        <n v="3320.19"/>
        <n v="9782.14"/>
        <n v="8307.84"/>
        <n v="5265.27"/>
        <n v="7783.07"/>
        <n v="9979.87"/>
        <n v="4145.37"/>
        <n v="4545.39"/>
        <n v="7581.58"/>
        <n v="4057.41"/>
        <n v="5938.09"/>
        <n v="4919.51"/>
        <n v="9258.69"/>
        <n v="3217.94"/>
        <n v="9050.51"/>
        <n v="4298.68"/>
        <n v="8396.45"/>
        <n v="7383.54"/>
        <n v="9445.93"/>
        <n v="6370.66"/>
        <n v="7798.96"/>
        <n v="6441.16"/>
        <n v="4882.95"/>
        <n v="6186.54"/>
        <n v="5747.45"/>
        <n v="5041.64"/>
        <n v="8458.96"/>
        <n v="3734.51"/>
        <n v="3997.47"/>
        <n v="7917.25"/>
        <n v="5285.23"/>
        <n v="5454.39"/>
        <n v="5778.46"/>
        <n v="7826.25"/>
        <n v="4172.38"/>
        <n v="7945.33"/>
        <n v="3363.8"/>
        <n v="9096.78"/>
        <n v="5376.15"/>
        <n v="9263.72"/>
        <n v="6166.23"/>
        <n v="8121.13"/>
        <n v="4729.72"/>
        <n v="4534.5"/>
        <n v="4274.83"/>
        <n v="6487.37"/>
        <n v="4599.18"/>
        <n v="7552.28"/>
        <n v="3505.39"/>
        <n v="6238.36"/>
        <n v="8198.95"/>
        <n v="5597.27"/>
        <n v="9069.22"/>
        <n v="8076.8"/>
        <n v="9304.91"/>
        <n v="7146.45"/>
        <n v="7360.77"/>
        <n v="3920.97"/>
        <n v="4257.78"/>
        <n v="4266.84"/>
        <n v="4730.62"/>
        <n v="6603.72"/>
        <n v="4144.67"/>
        <n v="4806.93"/>
        <n v="8414.31"/>
        <n v="6176.53"/>
        <n v="4188.31"/>
        <n v="8802.18"/>
        <n v="7320.01"/>
        <n v="4173.33"/>
        <n v="7646.63"/>
        <n v="8639.69"/>
        <n v="4440.89"/>
        <n v="3399.61"/>
        <n v="3275.4"/>
        <n v="9537.13"/>
        <n v="3291.01"/>
        <n v="9755.83"/>
        <n v="7473.84"/>
        <n v="6609.17"/>
        <n v="3977.56"/>
        <n v="7932.77"/>
        <n v="9789.38"/>
        <n v="6106.25"/>
        <n v="7848.38"/>
        <n v="7782.74"/>
        <n v="9082.33"/>
        <n v="9516.64"/>
        <n v="4509.73"/>
        <n v="7558.63"/>
        <n v="9995.9"/>
        <n v="5848.36"/>
        <n v="6969.11"/>
        <n v="5828.98"/>
        <n v="8654.92"/>
        <n v="6049.08"/>
        <n v="6811.42"/>
        <n v="5565.23"/>
        <n v="5719.91"/>
        <n v="5612.76"/>
        <n v="7224.14"/>
        <n v="6244.46"/>
      </sharedItems>
    </cacheField>
    <cacheField name="Spend ($)" numFmtId="0">
      <sharedItems containsSemiMixedTypes="0" containsString="0" containsNumber="1">
        <n v="6100.84"/>
        <n v="6089.05"/>
        <n v="3610.48"/>
        <n v="6414.34"/>
        <n v="7623.98"/>
        <n v="3818.06"/>
        <n v="5345.17"/>
        <n v="3529.68"/>
        <n v="6412.65"/>
        <n v="6452.63"/>
        <n v="6173.28"/>
        <n v="10507.01"/>
        <n v="4256.22"/>
        <n v="5087.49"/>
        <n v="3476.63"/>
        <n v="6824.35"/>
        <n v="5840.17"/>
        <n v="9115.59"/>
        <n v="7735.42"/>
        <n v="3556.82"/>
        <n v="5042.29"/>
        <n v="4861.13"/>
        <n v="4148.56"/>
        <n v="10222.04"/>
        <n v="3174.29"/>
        <n v="8357.33"/>
        <n v="4598.91"/>
        <n v="6621.4"/>
        <n v="4646.53"/>
        <n v="7956.67"/>
        <n v="3890.78"/>
        <n v="7145.75"/>
        <n v="6181.42"/>
        <n v="3039.6"/>
        <n v="4953.84"/>
        <n v="4380.23"/>
        <n v="3787.54"/>
        <n v="4454.33"/>
        <n v="7890.55"/>
        <n v="4597.8"/>
        <n v="9247.58"/>
        <n v="3274.11"/>
        <n v="9234.13"/>
        <n v="6083.56"/>
        <n v="3460.09"/>
        <n v="5028.96"/>
        <n v="6053.01"/>
        <n v="4520.42"/>
        <n v="4050.37"/>
        <n v="5315.67"/>
        <n v="8158.82"/>
        <n v="7041.12"/>
        <n v="7924.43"/>
        <n v="7371.45"/>
        <n v="7142.77"/>
        <n v="7929.09"/>
        <n v="3210.75"/>
        <n v="2971.61"/>
        <n v="6406.14"/>
        <n v="6169.54"/>
        <n v="4493.37"/>
        <n v="8020.49"/>
        <n v="8428.95"/>
        <n v="3885.45"/>
        <n v="9209.25"/>
        <n v="5541.31"/>
        <n v="9522.38"/>
        <n v="3045.21"/>
        <n v="5815.99"/>
        <n v="6127.22"/>
        <n v="6892.92"/>
        <n v="4632.29"/>
        <n v="5404.19"/>
        <n v="8920.27"/>
        <n v="3327.86"/>
        <n v="5140.6"/>
        <n v="9145.8"/>
        <n v="6342.93"/>
        <n v="4439.78"/>
        <n v="3150.05"/>
        <n v="10409.08"/>
        <n v="4498.81"/>
        <n v="6537.02"/>
        <n v="7969.31"/>
        <n v="8018.06"/>
        <n v="7455.26"/>
        <n v="5796.14"/>
        <n v="8361.63"/>
        <n v="9344.83"/>
        <n v="7187.78"/>
        <n v="9038.44"/>
        <n v="8955.01"/>
        <n v="8545.04"/>
        <n v="9144.79"/>
        <n v="4661.97"/>
        <n v="3055.46"/>
        <n v="4891.91"/>
        <n v="3414.01"/>
        <n v="3720.9"/>
        <n v="4451.51"/>
        <n v="3225.3"/>
        <n v="7595.04"/>
        <n v="5932.1"/>
        <n v="4561.4"/>
        <n v="3459.6"/>
        <n v="7263.22"/>
        <n v="3583.48"/>
        <n v="7986.64"/>
        <n v="9891.0"/>
        <n v="6742.3"/>
        <n v="5642.03"/>
        <n v="3102.62"/>
        <n v="9087.97"/>
        <n v="3491.33"/>
        <n v="3918.2"/>
        <n v="7241.7"/>
        <n v="5553.46"/>
        <n v="8973.91"/>
        <n v="3468.56"/>
        <n v="7683.16"/>
        <n v="5677.09"/>
        <n v="7381.5"/>
        <n v="10424.93"/>
        <n v="2893.8"/>
        <n v="3679.05"/>
        <n v="5512.59"/>
        <n v="7696.77"/>
        <n v="7788.01"/>
        <n v="8479.83"/>
        <n v="4348.91"/>
        <n v="9176.46"/>
        <n v="7610.3"/>
        <n v="8366.54"/>
        <n v="6881.66"/>
        <n v="6850.12"/>
        <n v="8497.14"/>
        <n v="7725.86"/>
        <n v="10472.47"/>
        <n v="6936.91"/>
        <n v="5309.96"/>
        <n v="8856.09"/>
        <n v="5280.32"/>
        <n v="6494.59"/>
        <n v="3219.42"/>
        <n v="6084.32"/>
        <n v="6498.02"/>
        <n v="6548.82"/>
        <n v="9037.5"/>
        <n v="9421.04"/>
        <n v="7552.83"/>
        <n v="8165.91"/>
        <n v="7787.31"/>
        <n v="2896.55"/>
        <n v="3200.48"/>
        <n v="8016.84"/>
        <n v="4981.33"/>
        <n v="4971.32"/>
        <n v="7958.07"/>
        <n v="7349.17"/>
        <n v="7501.35"/>
        <n v="7470.4"/>
        <n v="7210.26"/>
        <n v="2934.18"/>
        <n v="8647.45"/>
        <n v="4232.23"/>
        <n v="5337.16"/>
        <n v="10762.21"/>
        <n v="6029.18"/>
        <n v="6614.68"/>
        <n v="9501.64"/>
        <n v="6750.32"/>
        <n v="7372.9"/>
        <n v="5878.49"/>
        <n v="3964.73"/>
        <n v="10304.67"/>
        <n v="5806.31"/>
        <n v="3596.33"/>
        <n v="10987.73"/>
        <n v="9082.29"/>
        <n v="4424.67"/>
        <n v="9502.72"/>
        <n v="7589.75"/>
        <n v="3800.49"/>
        <n v="8036.77"/>
        <n v="6645.65"/>
        <n v="4893.67"/>
        <n v="8170.73"/>
        <n v="3776.32"/>
        <n v="5328.53"/>
        <n v="6494.25"/>
        <n v="6829.49"/>
        <n v="7786.39"/>
        <n v="4343.72"/>
        <n v="4508.39"/>
        <n v="5794.63"/>
        <n v="3851.35"/>
        <n v="3294.61"/>
        <n v="6397.37"/>
        <n v="8741.17"/>
        <n v="3607.64"/>
        <n v="3695.61"/>
        <n v="3027.78"/>
        <n v="4041.15"/>
        <n v="6358.58"/>
        <n v="6097.63"/>
        <n v="7729.97"/>
        <n v="8854.98"/>
        <n v="4068.66"/>
        <n v="6673.22"/>
        <n v="6676.44"/>
        <n v="8541.5"/>
        <n v="5596.04"/>
        <n v="5872.08"/>
        <n v="4546.76"/>
        <n v="4024.28"/>
        <n v="9031.27"/>
        <n v="8094.01"/>
        <n v="6597.87"/>
        <n v="5047.77"/>
        <n v="5507.08"/>
        <n v="6019.73"/>
        <n v="3870.78"/>
        <n v="4004.97"/>
        <n v="4256.37"/>
        <n v="3409.75"/>
        <n v="8233.29"/>
        <n v="10370.06"/>
        <n v="4090.61"/>
        <n v="9192.22"/>
        <n v="5112.85"/>
        <n v="4884.67"/>
        <n v="3919.31"/>
        <n v="4891.74"/>
        <n v="6111.84"/>
        <n v="4500.97"/>
        <n v="8904.04"/>
        <n v="4803.77"/>
        <n v="6749.86"/>
        <n v="5871.24"/>
        <n v="8167.91"/>
        <n v="8174.94"/>
        <n v="7961.38"/>
        <n v="4131.9"/>
        <n v="3520.77"/>
        <n v="7326.54"/>
        <n v="8388.45"/>
        <n v="5546.01"/>
        <n v="5233.73"/>
        <n v="4948.68"/>
        <n v="7294.42"/>
        <n v="4131.2"/>
        <n v="4498.77"/>
        <n v="7047.17"/>
        <n v="7203.83"/>
        <n v="4849.3"/>
        <n v="7190.08"/>
        <n v="5644.76"/>
        <n v="7481.49"/>
        <n v="7250.79"/>
        <n v="8184.75"/>
        <n v="7565.47"/>
        <n v="4631.17"/>
        <n v="6518.85"/>
        <n v="8147.86"/>
        <n v="6432.87"/>
        <n v="9829.94"/>
        <n v="8481.08"/>
        <n v="3957.48"/>
        <n v="6093.86"/>
        <n v="8865.23"/>
        <n v="10405.1"/>
        <n v="10021.8"/>
        <n v="6565.68"/>
        <n v="5564.81"/>
        <n v="4904.8"/>
        <n v="8531.94"/>
        <n v="7637.38"/>
        <n v="5194.27"/>
        <n v="6006.32"/>
        <n v="5393.78"/>
        <n v="3088.76"/>
        <n v="8215.83"/>
        <n v="3953.82"/>
        <n v="5878.4"/>
        <n v="4779.58"/>
        <n v="3515.38"/>
        <n v="5700.19"/>
        <n v="5909.54"/>
        <n v="5618.94"/>
        <n v="4523.65"/>
        <n v="4946.46"/>
        <n v="4733.55"/>
        <n v="7993.2"/>
        <n v="3958.73"/>
        <n v="2608.38"/>
        <n v="4232.06"/>
        <n v="3226.51"/>
        <n v="9430.98"/>
        <n v="6613.35"/>
        <n v="7455.66"/>
        <n v="3599.62"/>
        <n v="6560.3"/>
        <n v="7872.09"/>
        <n v="5528.22"/>
        <n v="6800.32"/>
        <n v="5377.02"/>
        <n v="7026.98"/>
        <n v="6850.38"/>
        <n v="4821.48"/>
        <n v="6723.82"/>
        <n v="4176.17"/>
        <n v="5687.9"/>
        <n v="3361.16"/>
        <n v="6206.94"/>
        <n v="7929.79"/>
        <n v="2587.93"/>
        <n v="8927.81"/>
        <n v="6526.96"/>
        <n v="5426.88"/>
        <n v="2829.06"/>
        <n v="3511.38"/>
        <n v="5075.89"/>
        <n v="7142.72"/>
        <n v="6326.66"/>
        <n v="7026.51"/>
        <n v="4731.99"/>
        <n v="6338.94"/>
        <n v="6985.62"/>
        <n v="7681.5"/>
        <n v="5281.79"/>
        <n v="8668.19"/>
        <n v="6477.59"/>
        <n v="7923.66"/>
        <n v="5237.65"/>
        <n v="9289.8"/>
        <n v="7669.96"/>
        <n v="4495.23"/>
        <n v="10738.67"/>
        <n v="8554.9"/>
        <n v="7496.33"/>
        <n v="7008.66"/>
        <n v="10613.34"/>
        <n v="9516.41"/>
        <n v="7139.65"/>
        <n v="3854.79"/>
        <n v="7102.07"/>
        <n v="3093.03"/>
        <n v="7644.22"/>
        <n v="9061.59"/>
        <n v="3364.32"/>
        <n v="8745.96"/>
        <n v="9445.3"/>
        <n v="7705.54"/>
        <n v="7851.64"/>
        <n v="7752.33"/>
        <n v="7115.21"/>
        <n v="4858.31"/>
        <n v="3766.73"/>
        <n v="9203.54"/>
        <n v="6713.96"/>
        <n v="7031.65"/>
        <n v="9917.44"/>
        <n v="6200.6"/>
        <n v="5004.47"/>
        <n v="6919.07"/>
        <n v="3668.73"/>
        <n v="7653.98"/>
        <n v="10420.99"/>
        <n v="8491.31"/>
        <n v="8380.83"/>
        <n v="7555.18"/>
        <n v="6609.33"/>
        <n v="3870.62"/>
        <n v="4166.87"/>
        <n v="9422.08"/>
        <n v="5663.71"/>
        <n v="4924.13"/>
        <n v="5334.24"/>
        <n v="6404.0"/>
        <n v="6105.07"/>
        <n v="7933.59"/>
        <n v="6125.66"/>
        <n v="8560.83"/>
        <n v="9184.53"/>
        <n v="7914.16"/>
        <n v="7008.67"/>
        <n v="7362.19"/>
        <n v="3513.97"/>
        <n v="4312.57"/>
        <n v="5254.37"/>
        <n v="8009.03"/>
        <n v="4771.42"/>
        <n v="7038.62"/>
        <n v="7392.38"/>
        <n v="8019.71"/>
        <n v="9621.46"/>
        <n v="5170.33"/>
        <n v="6394.31"/>
        <n v="3524.25"/>
        <n v="10025.67"/>
        <n v="6707.55"/>
        <n v="4984.07"/>
        <n v="7267.6"/>
        <n v="9259.87"/>
        <n v="4304.73"/>
        <n v="3748.65"/>
        <n v="6686.79"/>
        <n v="3772.18"/>
        <n v="5887.96"/>
        <n v="5387.81"/>
        <n v="8045.68"/>
        <n v="3203.46"/>
        <n v="8525.25"/>
        <n v="4559.12"/>
        <n v="8845.11"/>
        <n v="6197.55"/>
        <n v="9304.19"/>
        <n v="5320.73"/>
        <n v="7245.95"/>
        <n v="5277.0"/>
        <n v="5074.69"/>
        <n v="4970.8"/>
        <n v="5425.49"/>
        <n v="5084.47"/>
        <n v="6867.71"/>
        <n v="3258.78"/>
        <n v="3796.26"/>
        <n v="7663.06"/>
        <n v="5049.05"/>
        <n v="4417.84"/>
        <n v="4852.84"/>
        <n v="8140.68"/>
        <n v="3468.79"/>
        <n v="6431.55"/>
        <n v="3237.28"/>
        <n v="9226.19"/>
        <n v="5615.11"/>
        <n v="8932.8"/>
        <n v="6123.52"/>
        <n v="6695.78"/>
        <n v="4010.16"/>
        <n v="4955.12"/>
        <n v="4432.61"/>
        <n v="6270.75"/>
        <n v="5054.04"/>
        <n v="6493.92"/>
        <n v="2836.55"/>
        <n v="6615.67"/>
        <n v="7605.74"/>
        <n v="6136.26"/>
        <n v="8829.82"/>
        <n v="7640.66"/>
        <n v="8621.15"/>
        <n v="7673.21"/>
        <n v="7283.25"/>
        <n v="3978.79"/>
        <n v="3709.65"/>
        <n v="4507.13"/>
        <n v="5020.25"/>
        <n v="5994.66"/>
        <n v="3802.01"/>
        <n v="4792.61"/>
        <n v="7061.81"/>
        <n v="5378.62"/>
        <n v="4003.74"/>
        <n v="8179.57"/>
        <n v="7408.09"/>
        <n v="3384.58"/>
        <n v="7206.1"/>
        <n v="8428.94"/>
        <n v="3701.82"/>
        <n v="3261.42"/>
        <n v="2740.31"/>
        <n v="8534.27"/>
        <n v="2779.27"/>
        <n v="7819.12"/>
        <n v="7925.08"/>
        <n v="6256.6"/>
        <n v="3217.81"/>
        <n v="6826.59"/>
        <n v="8107.27"/>
        <n v="6475.33"/>
        <n v="8252.06"/>
        <n v="7387.01"/>
        <n v="8820.6"/>
        <n v="9581.91"/>
        <n v="4499.2"/>
        <n v="6288.61"/>
        <n v="8141.3"/>
        <n v="6206.43"/>
        <n v="7119.19"/>
        <n v="5235.06"/>
        <n v="8903.19"/>
        <n v="6323.41"/>
        <n v="5460.9"/>
        <n v="5113.62"/>
        <n v="5345.87"/>
        <n v="4872.89"/>
        <n v="7227.49"/>
        <n v="5707.04"/>
      </sharedItems>
    </cacheField>
    <cacheField name="Impressions" numFmtId="0">
      <sharedItems containsSemiMixedTypes="0" containsString="0" containsNumber="1" containsInteger="1">
        <n v="120704.0"/>
        <n v="64473.0"/>
        <n v="113908.0"/>
        <n v="91921.0"/>
        <n v="191026.0"/>
        <n v="127588.0"/>
        <n v="72336.0"/>
        <n v="64153.0"/>
        <n v="53911.0"/>
        <n v="185980.0"/>
        <n v="195024.0"/>
        <n v="54909.0"/>
        <n v="69520.0"/>
        <n v="126413.0"/>
        <n v="76429.0"/>
        <n v="59367.0"/>
        <n v="186370.0"/>
        <n v="177209.0"/>
        <n v="113245.0"/>
        <n v="134800.0"/>
        <n v="128160.0"/>
        <n v="156949.0"/>
        <n v="138676.0"/>
        <n v="133918.0"/>
        <n v="116892.0"/>
        <n v="187598.0"/>
        <n v="145792.0"/>
        <n v="144942.0"/>
        <n v="81620.0"/>
        <n v="73683.0"/>
        <n v="69783.0"/>
        <n v="154773.0"/>
        <n v="69731.0"/>
        <n v="188839.0"/>
        <n v="146830.0"/>
        <n v="114426.0"/>
        <n v="78896.0"/>
        <n v="114833.0"/>
        <n v="86560.0"/>
        <n v="74753.0"/>
        <n v="177534.0"/>
        <n v="179996.0"/>
        <n v="169629.0"/>
        <n v="103534.0"/>
        <n v="157185.0"/>
        <n v="114793.0"/>
        <n v="175219.0"/>
        <n v="100064.0"/>
        <n v="61208.0"/>
        <n v="64306.0"/>
        <n v="160805.0"/>
        <n v="169372.0"/>
        <n v="77537.0"/>
        <n v="111631.0"/>
        <n v="102718.0"/>
        <n v="79647.0"/>
        <n v="155333.0"/>
        <n v="81389.0"/>
        <n v="146743.0"/>
        <n v="121778.0"/>
        <n v="145652.0"/>
        <n v="80391.0"/>
        <n v="136864.0"/>
        <n v="135649.0"/>
        <n v="75522.0"/>
        <n v="180933.0"/>
        <n v="130681.0"/>
        <n v="162389.0"/>
        <n v="94836.0"/>
        <n v="191486.0"/>
        <n v="138384.0"/>
        <n v="72528.0"/>
        <n v="173181.0"/>
        <n v="107709.0"/>
        <n v="86473.0"/>
        <n v="94803.0"/>
        <n v="55244.0"/>
        <n v="103713.0"/>
        <n v="110834.0"/>
        <n v="122735.0"/>
        <n v="188008.0"/>
        <n v="139883.0"/>
        <n v="138325.0"/>
        <n v="82264.0"/>
        <n v="88706.0"/>
        <n v="141755.0"/>
        <n v="97675.0"/>
        <n v="155967.0"/>
        <n v="154219.0"/>
        <n v="133842.0"/>
        <n v="126153.0"/>
        <n v="83386.0"/>
        <n v="137986.0"/>
        <n v="103318.0"/>
        <n v="163071.0"/>
        <n v="115973.0"/>
        <n v="58155.0"/>
        <n v="121100.0"/>
        <n v="129730.0"/>
        <n v="51577.0"/>
        <n v="147591.0"/>
        <n v="189630.0"/>
        <n v="175761.0"/>
        <n v="151629.0"/>
        <n v="120702.0"/>
        <n v="176077.0"/>
        <n v="134667.0"/>
        <n v="178492.0"/>
        <n v="145812.0"/>
        <n v="186329.0"/>
        <n v="147883.0"/>
        <n v="134164.0"/>
        <n v="127750.0"/>
        <n v="99153.0"/>
        <n v="171690.0"/>
        <n v="196304.0"/>
        <n v="184625.0"/>
        <n v="65860.0"/>
        <n v="149919.0"/>
        <n v="124319.0"/>
        <n v="149623.0"/>
        <n v="53378.0"/>
        <n v="165946.0"/>
        <n v="66013.0"/>
        <n v="163376.0"/>
        <n v="139628.0"/>
        <n v="62770.0"/>
        <n v="129840.0"/>
        <n v="81087.0"/>
        <n v="199475.0"/>
        <n v="197123.0"/>
        <n v="139183.0"/>
        <n v="144975.0"/>
        <n v="77279.0"/>
        <n v="195662.0"/>
        <n v="168167.0"/>
        <n v="163943.0"/>
        <n v="137121.0"/>
        <n v="174799.0"/>
        <n v="58780.0"/>
        <n v="198199.0"/>
        <n v="103994.0"/>
        <n v="149870.0"/>
        <n v="77061.0"/>
        <n v="70716.0"/>
        <n v="81757.0"/>
        <n v="127949.0"/>
        <n v="130404.0"/>
        <n v="162097.0"/>
        <n v="154555.0"/>
        <n v="56338.0"/>
        <n v="168488.0"/>
        <n v="70782.0"/>
        <n v="187830.0"/>
        <n v="77085.0"/>
        <n v="181387.0"/>
        <n v="161384.0"/>
        <n v="115218.0"/>
        <n v="86944.0"/>
        <n v="126890.0"/>
        <n v="119094.0"/>
        <n v="120570.0"/>
        <n v="173652.0"/>
        <n v="53244.0"/>
        <n v="197753.0"/>
        <n v="95888.0"/>
        <n v="130274.0"/>
        <n v="53089.0"/>
        <n v="110033.0"/>
        <n v="75315.0"/>
        <n v="194023.0"/>
        <n v="105156.0"/>
        <n v="136337.0"/>
        <n v="191309.0"/>
        <n v="143568.0"/>
        <n v="69711.0"/>
        <n v="114949.0"/>
        <n v="128670.0"/>
        <n v="92405.0"/>
        <n v="113689.0"/>
        <n v="72317.0"/>
        <n v="59223.0"/>
        <n v="123058.0"/>
        <n v="133482.0"/>
        <n v="130705.0"/>
        <n v="168213.0"/>
        <n v="55771.0"/>
        <n v="158774.0"/>
        <n v="167161.0"/>
        <n v="54315.0"/>
        <n v="112474.0"/>
        <n v="76227.0"/>
        <n v="85573.0"/>
        <n v="156215.0"/>
        <n v="83163.0"/>
        <n v="122395.0"/>
        <n v="148880.0"/>
        <n v="150378.0"/>
        <n v="141253.0"/>
        <n v="171015.0"/>
        <n v="127713.0"/>
        <n v="95400.0"/>
        <n v="154562.0"/>
        <n v="100148.0"/>
        <n v="109858.0"/>
        <n v="158340.0"/>
        <n v="114026.0"/>
        <n v="188606.0"/>
        <n v="137418.0"/>
        <n v="195298.0"/>
        <n v="191329.0"/>
        <n v="118663.0"/>
        <n v="55825.0"/>
        <n v="53730.0"/>
        <n v="177951.0"/>
        <n v="52910.0"/>
        <n v="57737.0"/>
        <n v="167465.0"/>
        <n v="133310.0"/>
        <n v="113210.0"/>
        <n v="186208.0"/>
        <n v="197176.0"/>
        <n v="138708.0"/>
        <n v="198805.0"/>
        <n v="89656.0"/>
        <n v="99291.0"/>
        <n v="111502.0"/>
        <n v="85109.0"/>
        <n v="92367.0"/>
        <n v="149385.0"/>
        <n v="134522.0"/>
        <n v="178747.0"/>
        <n v="73811.0"/>
        <n v="61124.0"/>
        <n v="65992.0"/>
        <n v="80479.0"/>
        <n v="65167.0"/>
        <n v="109928.0"/>
        <n v="155287.0"/>
        <n v="78740.0"/>
        <n v="158786.0"/>
        <n v="158182.0"/>
        <n v="70430.0"/>
        <n v="53472.0"/>
        <n v="65231.0"/>
        <n v="136646.0"/>
        <n v="106358.0"/>
        <n v="179651.0"/>
        <n v="87263.0"/>
        <n v="142706.0"/>
        <n v="197165.0"/>
        <n v="141042.0"/>
        <n v="103661.0"/>
        <n v="71137.0"/>
        <n v="109146.0"/>
        <n v="119284.0"/>
        <n v="192983.0"/>
        <n v="121420.0"/>
        <n v="157129.0"/>
        <n v="194986.0"/>
        <n v="75023.0"/>
        <n v="190925.0"/>
        <n v="166397.0"/>
        <n v="77672.0"/>
        <n v="127332.0"/>
        <n v="155035.0"/>
        <n v="148308.0"/>
        <n v="74611.0"/>
        <n v="196435.0"/>
        <n v="50483.0"/>
        <n v="156463.0"/>
        <n v="128263.0"/>
        <n v="52499.0"/>
        <n v="67097.0"/>
        <n v="191774.0"/>
        <n v="178702.0"/>
        <n v="70461.0"/>
        <n v="105961.0"/>
        <n v="70597.0"/>
        <n v="99708.0"/>
        <n v="170519.0"/>
        <n v="124323.0"/>
        <n v="92675.0"/>
        <n v="71769.0"/>
        <n v="61798.0"/>
        <n v="78277.0"/>
        <n v="65823.0"/>
        <n v="146175.0"/>
        <n v="102654.0"/>
        <n v="68829.0"/>
        <n v="112356.0"/>
        <n v="195477.0"/>
        <n v="161797.0"/>
        <n v="191829.0"/>
        <n v="54030.0"/>
        <n v="134964.0"/>
        <n v="99410.0"/>
        <n v="152642.0"/>
        <n v="111235.0"/>
        <n v="195593.0"/>
        <n v="191906.0"/>
        <n v="163874.0"/>
        <n v="173144.0"/>
        <n v="131078.0"/>
        <n v="171377.0"/>
        <n v="118229.0"/>
        <n v="93966.0"/>
        <n v="180247.0"/>
        <n v="80643.0"/>
        <n v="175493.0"/>
        <n v="125145.0"/>
        <n v="197509.0"/>
        <n v="158254.0"/>
        <n v="50360.0"/>
        <n v="98472.0"/>
        <n v="154581.0"/>
        <n v="68618.0"/>
        <n v="95395.0"/>
        <n v="87162.0"/>
        <n v="54764.0"/>
        <n v="141976.0"/>
        <n v="85169.0"/>
        <n v="75206.0"/>
        <n v="185576.0"/>
        <n v="156872.0"/>
        <n v="115212.0"/>
        <n v="106540.0"/>
        <n v="110667.0"/>
        <n v="76558.0"/>
        <n v="83532.0"/>
        <n v="149998.0"/>
        <n v="171861.0"/>
        <n v="111608.0"/>
        <n v="115362.0"/>
        <n v="166037.0"/>
        <n v="116079.0"/>
        <n v="67946.0"/>
        <n v="123947.0"/>
        <n v="68639.0"/>
        <n v="158533.0"/>
        <n v="74923.0"/>
        <n v="196954.0"/>
        <n v="103912.0"/>
        <n v="135367.0"/>
        <n v="154277.0"/>
        <n v="194871.0"/>
        <n v="57427.0"/>
        <n v="192331.0"/>
        <n v="66208.0"/>
        <n v="132053.0"/>
        <n v="195707.0"/>
        <n v="106946.0"/>
        <n v="170434.0"/>
        <n v="61724.0"/>
        <n v="194762.0"/>
        <n v="188259.0"/>
        <n v="99224.0"/>
        <n v="83109.0"/>
        <n v="111688.0"/>
        <n v="134861.0"/>
        <n v="176820.0"/>
        <n v="86387.0"/>
        <n v="53430.0"/>
        <n v="164936.0"/>
        <n v="152738.0"/>
        <n v="76927.0"/>
        <n v="69189.0"/>
        <n v="127993.0"/>
        <n v="124998.0"/>
        <n v="107520.0"/>
        <n v="117796.0"/>
        <n v="56417.0"/>
        <n v="133159.0"/>
        <n v="184724.0"/>
        <n v="184680.0"/>
        <n v="89044.0"/>
        <n v="146101.0"/>
        <n v="130452.0"/>
        <n v="115837.0"/>
        <n v="186219.0"/>
        <n v="165044.0"/>
        <n v="181245.0"/>
        <n v="125026.0"/>
        <n v="172320.0"/>
        <n v="169951.0"/>
        <n v="117094.0"/>
        <n v="54766.0"/>
        <n v="197025.0"/>
        <n v="119124.0"/>
        <n v="68519.0"/>
        <n v="140986.0"/>
        <n v="175888.0"/>
        <n v="187533.0"/>
        <n v="91252.0"/>
        <n v="145695.0"/>
        <n v="165271.0"/>
        <n v="69967.0"/>
        <n v="193477.0"/>
        <n v="180485.0"/>
        <n v="149220.0"/>
        <n v="128069.0"/>
        <n v="50640.0"/>
        <n v="159631.0"/>
        <n v="92070.0"/>
        <n v="138224.0"/>
        <n v="63940.0"/>
        <n v="192599.0"/>
        <n v="65526.0"/>
        <n v="149688.0"/>
        <n v="118998.0"/>
        <n v="115280.0"/>
        <n v="129278.0"/>
        <n v="113951.0"/>
        <n v="160215.0"/>
        <n v="176532.0"/>
        <n v="93893.0"/>
        <n v="70743.0"/>
        <n v="84061.0"/>
        <n v="108436.0"/>
        <n v="143676.0"/>
        <n v="76424.0"/>
        <n v="131046.0"/>
        <n v="69001.0"/>
        <n v="179928.0"/>
        <n v="151737.0"/>
        <n v="188031.0"/>
        <n v="55760.0"/>
        <n v="94851.0"/>
        <n v="134423.0"/>
        <n v="111462.0"/>
        <n v="102748.0"/>
        <n v="180765.0"/>
        <n v="143614.0"/>
        <n v="174898.0"/>
        <n v="179667.0"/>
        <n v="142353.0"/>
        <n v="161295.0"/>
        <n v="72755.0"/>
        <n v="136413.0"/>
        <n v="190122.0"/>
        <n v="84930.0"/>
        <n v="120822.0"/>
        <n v="108943.0"/>
        <n v="145244.0"/>
        <n v="174584.0"/>
        <n v="187179.0"/>
        <n v="113319.0"/>
        <n v="97411.0"/>
        <n v="172776.0"/>
        <n v="117252.0"/>
        <n v="149827.0"/>
        <n v="148415.0"/>
        <n v="96330.0"/>
        <n v="96745.0"/>
        <n v="66585.0"/>
        <n v="192117.0"/>
        <n v="194804.0"/>
        <n v="91032.0"/>
        <n v="116506.0"/>
        <n v="55887.0"/>
        <n v="111392.0"/>
        <n v="127536.0"/>
        <n v="72374.0"/>
        <n v="194426.0"/>
        <n v="63381.0"/>
        <n v="109943.0"/>
        <n v="142900.0"/>
        <n v="197974.0"/>
        <n v="102196.0"/>
        <n v="72102.0"/>
        <n v="138622.0"/>
        <n v="75127.0"/>
        <n v="65706.0"/>
        <n v="59862.0"/>
        <n v="74195.0"/>
        <n v="175747.0"/>
        <n v="150368.0"/>
        <n v="199789.0"/>
        <n v="183098.0"/>
        <n v="170452.0"/>
        <n v="118097.0"/>
        <n v="115700.0"/>
        <n v="55522.0"/>
        <n v="150531.0"/>
        <n v="103488.0"/>
        <n v="84687.0"/>
        <n v="147771.0"/>
        <n v="112643.0"/>
        <n v="99483.0"/>
        <n v="166799.0"/>
        <n v="64146.0"/>
        <n v="165901.0"/>
        <n v="52359.0"/>
        <n v="158601.0"/>
        <n v="73610.0"/>
        <n v="67169.0"/>
        <n v="152621.0"/>
        <n v="107940.0"/>
        <n v="68836.0"/>
        <n v="140338.0"/>
      </sharedItems>
    </cacheField>
    <cacheField name="Clicks" numFmtId="0">
      <sharedItems containsSemiMixedTypes="0" containsString="0" containsNumber="1" containsInteger="1">
        <n v="5511.0"/>
        <n v="1120.0"/>
        <n v="5345.0"/>
        <n v="3787.0"/>
        <n v="8786.0"/>
        <n v="5087.0"/>
        <n v="1340.0"/>
        <n v="2806.0"/>
        <n v="2127.0"/>
        <n v="5168.0"/>
        <n v="9701.0"/>
        <n v="2182.0"/>
        <n v="1141.0"/>
        <n v="3059.0"/>
        <n v="2090.0"/>
        <n v="1348.0"/>
        <n v="9073.0"/>
        <n v="2628.0"/>
        <n v="4048.0"/>
        <n v="4917.0"/>
        <n v="1491.0"/>
        <n v="1762.0"/>
        <n v="4683.0"/>
        <n v="4771.0"/>
        <n v="1613.0"/>
        <n v="7514.0"/>
        <n v="2973.0"/>
        <n v="3629.0"/>
        <n v="2259.0"/>
        <n v="2886.0"/>
        <n v="2350.0"/>
        <n v="2872.0"/>
        <n v="7836.0"/>
        <n v="6778.0"/>
        <n v="4726.0"/>
        <n v="1812.0"/>
        <n v="5099.0"/>
        <n v="3682.0"/>
        <n v="1230.0"/>
        <n v="2754.0"/>
        <n v="8814.0"/>
        <n v="5933.0"/>
        <n v="3406.0"/>
        <n v="1409.0"/>
        <n v="4639.0"/>
        <n v="4802.0"/>
        <n v="1424.0"/>
        <n v="3037.0"/>
        <n v="2956.0"/>
        <n v="1964.0"/>
        <n v="2478.0"/>
        <n v="3060.0"/>
        <n v="2469.0"/>
        <n v="2206.0"/>
        <n v="2287.0"/>
        <n v="2501.0"/>
        <n v="3140.0"/>
        <n v="3193.0"/>
        <n v="2381.0"/>
        <n v="3086.0"/>
        <n v="1900.0"/>
        <n v="3696.0"/>
        <n v="5567.0"/>
        <n v="1938.0"/>
        <n v="2435.0"/>
        <n v="5935.0"/>
        <n v="4500.0"/>
        <n v="3956.0"/>
        <n v="4445.0"/>
        <n v="3042.0"/>
        <n v="1306.0"/>
        <n v="6365.0"/>
        <n v="2586.0"/>
        <n v="2750.0"/>
        <n v="2004.0"/>
        <n v="2028.0"/>
        <n v="2193.0"/>
        <n v="4636.0"/>
        <n v="2941.0"/>
        <n v="8592.0"/>
        <n v="4226.0"/>
        <n v="4027.0"/>
        <n v="3537.0"/>
        <n v="1251.0"/>
        <n v="1695.0"/>
        <n v="4253.0"/>
        <n v="1655.0"/>
        <n v="2086.0"/>
        <n v="1394.0"/>
        <n v="6045.0"/>
        <n v="1255.0"/>
        <n v="6053.0"/>
        <n v="2013.0"/>
        <n v="2665.0"/>
        <n v="4194.0"/>
        <n v="2713.0"/>
        <n v="4154.0"/>
        <n v="3017.0"/>
        <n v="1434.0"/>
        <n v="4755.0"/>
        <n v="2389.0"/>
        <n v="4515.0"/>
        <n v="4739.0"/>
        <n v="2467.0"/>
        <n v="2054.0"/>
        <n v="4062.0"/>
        <n v="2018.0"/>
        <n v="2588.0"/>
        <n v="2426.0"/>
        <n v="1463.0"/>
        <n v="3192.0"/>
        <n v="5551.0"/>
        <n v="2036.0"/>
        <n v="1892.0"/>
        <n v="8710.0"/>
        <n v="5858.0"/>
        <n v="1196.0"/>
        <n v="5922.0"/>
        <n v="3473.0"/>
        <n v="2483.0"/>
        <n v="2137.0"/>
        <n v="4099.0"/>
        <n v="1830.0"/>
        <n v="7011.0"/>
        <n v="1738.0"/>
        <n v="1245.0"/>
        <n v="5797.0"/>
        <n v="3895.0"/>
        <n v="6783.0"/>
        <n v="3693.0"/>
        <n v="5327.0"/>
        <n v="7116.0"/>
        <n v="3326.0"/>
        <n v="9052.0"/>
        <n v="4467.0"/>
        <n v="2848.0"/>
        <n v="1770.0"/>
        <n v="5339.0"/>
        <n v="1712.0"/>
        <n v="5993.0"/>
        <n v="4644.0"/>
        <n v="2505.0"/>
        <n v="1539.0"/>
        <n v="2637.0"/>
        <n v="1390.0"/>
        <n v="2073.0"/>
        <n v="3053.0"/>
        <n v="7152.0"/>
        <n v="7368.0"/>
        <n v="2066.0"/>
        <n v="6718.0"/>
        <n v="3197.0"/>
        <n v="5038.0"/>
        <n v="2592.0"/>
        <n v="7602.0"/>
        <n v="4375.0"/>
        <n v="1614.0"/>
        <n v="1292.0"/>
        <n v="3074.0"/>
        <n v="5829.0"/>
        <n v="1495.0"/>
        <n v="3397.0"/>
        <n v="1838.0"/>
        <n v="3883.0"/>
        <n v="2400.0"/>
        <n v="3999.0"/>
        <n v="1998.0"/>
        <n v="3132.0"/>
        <n v="1121.0"/>
        <n v="9171.0"/>
        <n v="3813.0"/>
        <n v="3490.0"/>
        <n v="5182.0"/>
        <n v="6593.0"/>
        <n v="1173.0"/>
        <n v="3456.0"/>
        <n v="4786.0"/>
        <n v="3028.0"/>
        <n v="4258.0"/>
        <n v="1429.0"/>
        <n v="1286.0"/>
        <n v="4679.0"/>
        <n v="2397.0"/>
        <n v="4818.0"/>
        <n v="2627.0"/>
        <n v="1773.0"/>
        <n v="5263.0"/>
        <n v="1156.0"/>
        <n v="1126.0"/>
        <n v="3364.0"/>
        <n v="1887.0"/>
        <n v="6524.0"/>
        <n v="2401.0"/>
        <n v="3701.0"/>
        <n v="1344.0"/>
        <n v="1516.0"/>
        <n v="2934.0"/>
        <n v="7567.0"/>
        <n v="1869.0"/>
        <n v="1371.0"/>
        <n v="4028.0"/>
        <n v="1610.0"/>
        <n v="3804.0"/>
        <n v="2273.0"/>
        <n v="4773.0"/>
        <n v="1714.0"/>
        <n v="4255.0"/>
        <n v="3830.0"/>
        <n v="5806.0"/>
        <n v="2481.0"/>
        <n v="2436.0"/>
        <n v="2251.0"/>
        <n v="3898.0"/>
        <n v="1772.0"/>
        <n v="1530.0"/>
        <n v="5881.0"/>
        <n v="4783.0"/>
        <n v="1277.0"/>
        <n v="1504.0"/>
        <n v="7746.0"/>
        <n v="3409.0"/>
        <n v="7934.0"/>
        <n v="1499.0"/>
        <n v="1323.0"/>
        <n v="5082.0"/>
        <n v="1336.0"/>
        <n v="1602.0"/>
        <n v="1524.0"/>
        <n v="2228.0"/>
        <n v="7649.0"/>
        <n v="3452.0"/>
        <n v="2912.0"/>
        <n v="3184.0"/>
        <n v="3812.0"/>
        <n v="3118.0"/>
        <n v="2600.0"/>
        <n v="6156.0"/>
        <n v="2383.0"/>
        <n v="2402.0"/>
        <n v="3562.0"/>
        <n v="1779.0"/>
        <n v="2231.0"/>
        <n v="2540.0"/>
        <n v="1150.0"/>
        <n v="4479.0"/>
        <n v="3752.0"/>
        <n v="4101.0"/>
        <n v="8105.0"/>
        <n v="2816.0"/>
        <n v="3336.0"/>
        <n v="2638.0"/>
        <n v="3124.0"/>
        <n v="1389.0"/>
        <n v="4396.0"/>
        <n v="2619.0"/>
        <n v="6144.0"/>
        <n v="2202.0"/>
        <n v="2918.0"/>
        <n v="4618.0"/>
        <n v="1945.0"/>
        <n v="2185.0"/>
        <n v="4365.0"/>
        <n v="4402.0"/>
        <n v="5069.0"/>
        <n v="2423.0"/>
        <n v="5991.0"/>
        <n v="1111.0"/>
        <n v="3470.0"/>
        <n v="5531.0"/>
        <n v="1190.0"/>
        <n v="6884.0"/>
        <n v="4580.0"/>
        <n v="2962.0"/>
        <n v="4343.0"/>
        <n v="2706.0"/>
        <n v="4677.0"/>
        <n v="7134.0"/>
        <n v="2448.0"/>
        <n v="1207.0"/>
        <n v="3290.0"/>
        <n v="1170.0"/>
        <n v="1049.0"/>
        <n v="1946.0"/>
        <n v="4465.0"/>
        <n v="1090.0"/>
        <n v="4894.0"/>
        <n v="3560.0"/>
        <n v="6944.0"/>
        <n v="3686.0"/>
        <n v="2101.0"/>
        <n v="2504.0"/>
        <n v="4795.0"/>
        <n v="2474.0"/>
        <n v="4808.0"/>
        <n v="5136.0"/>
        <n v="3380.0"/>
        <n v="4357.0"/>
        <n v="7537.0"/>
        <n v="4550.0"/>
        <n v="4129.0"/>
        <n v="1135.0"/>
        <n v="2601.0"/>
        <n v="6040.0"/>
        <n v="2915.0"/>
        <n v="7200.0"/>
        <n v="8448.0"/>
        <n v="1254.0"/>
        <n v="1689.0"/>
        <n v="4803.0"/>
        <n v="6093.0"/>
        <n v="3036.0"/>
        <n v="4443.0"/>
        <n v="1775.0"/>
        <n v="1698.0"/>
        <n v="6294.0"/>
        <n v="1081.0"/>
        <n v="8158.0"/>
        <n v="6177.0"/>
        <n v="2331.0"/>
        <n v="3157.0"/>
        <n v="2560.0"/>
        <n v="2247.0"/>
        <n v="3585.0"/>
        <n v="5998.0"/>
        <n v="2743.0"/>
        <n v="4858.0"/>
        <n v="1929.0"/>
        <n v="3243.0"/>
        <n v="1270.0"/>
        <n v="4068.0"/>
        <n v="3348.0"/>
        <n v="6076.0"/>
        <n v="3598.0"/>
        <n v="4588.0"/>
        <n v="1528.0"/>
        <n v="1109.0"/>
        <n v="3322.0"/>
        <n v="7907.0"/>
        <n v="1092.0"/>
        <n v="2108.0"/>
        <n v="2170.0"/>
        <n v="4867.0"/>
        <n v="8454.0"/>
        <n v="4278.0"/>
        <n v="6373.0"/>
        <n v="1074.0"/>
        <n v="1009.0"/>
        <n v="3527.0"/>
        <n v="3662.0"/>
        <n v="3984.0"/>
        <n v="3399.0"/>
        <n v="1932.0"/>
        <n v="2059.0"/>
        <n v="2126.0"/>
        <n v="4651.0"/>
        <n v="4601.0"/>
        <n v="1398.0"/>
        <n v="1438.0"/>
        <n v="3954.0"/>
        <n v="5305.0"/>
        <n v="2015.0"/>
        <n v="2121.0"/>
        <n v="6315.0"/>
        <n v="5850.0"/>
        <n v="7103.0"/>
        <n v="2861.0"/>
        <n v="1999.0"/>
        <n v="4881.0"/>
        <n v="5035.0"/>
        <n v="6823.0"/>
        <n v="3343.0"/>
        <n v="4787.0"/>
        <n v="4106.0"/>
        <n v="5189.0"/>
        <n v="5839.0"/>
        <n v="1370.0"/>
        <n v="2723.0"/>
        <n v="6420.0"/>
        <n v="3940.0"/>
        <n v="3190.0"/>
        <n v="2922.0"/>
        <n v="8565.0"/>
        <n v="7387.0"/>
        <n v="1758.0"/>
        <n v="2785.0"/>
        <n v="1422.0"/>
        <n v="8585.0"/>
        <n v="1392.0"/>
        <n v="5688.0"/>
        <n v="2283.0"/>
        <n v="1609.0"/>
        <n v="5836.0"/>
        <n v="2984.0"/>
        <n v="4150.0"/>
        <n v="2107.0"/>
        <n v="7700.0"/>
        <n v="2744.0"/>
        <n v="5146.0"/>
        <n v="1453.0"/>
        <n v="3264.0"/>
        <n v="5246.0"/>
        <n v="4911.0"/>
        <n v="4360.0"/>
        <n v="2317.0"/>
        <n v="1210.0"/>
        <n v="3545.0"/>
        <n v="6117.0"/>
        <n v="1044.0"/>
        <n v="6398.0"/>
        <n v="2029.0"/>
        <n v="5522.0"/>
        <n v="6324.0"/>
        <n v="2257.0"/>
        <n v="2026.0"/>
        <n v="2639.0"/>
        <n v="2548.0"/>
        <n v="5187.0"/>
        <n v="1293.0"/>
        <n v="5270.0"/>
        <n v="4002.0"/>
        <n v="7877.0"/>
        <n v="3625.0"/>
        <n v="4745.0"/>
        <n v="7131.0"/>
        <n v="3434.0"/>
        <n v="2084.0"/>
        <n v="1915.0"/>
        <n v="1992.0"/>
        <n v="3924.0"/>
        <n v="7015.0"/>
        <n v="5659.0"/>
        <n v="9269.0"/>
        <n v="2346.0"/>
        <n v="2282.0"/>
        <n v="7965.0"/>
        <n v="4476.0"/>
        <n v="5041.0"/>
        <n v="5679.0"/>
        <n v="1282.0"/>
        <n v="3235.0"/>
        <n v="4361.0"/>
        <n v="8803.0"/>
        <n v="3308.0"/>
        <n v="4331.0"/>
        <n v="1060.0"/>
        <n v="4309.0"/>
        <n v="1590.0"/>
        <n v="1961.0"/>
        <n v="2729.0"/>
        <n v="1826.0"/>
        <n v="4843.0"/>
        <n v="3707.0"/>
        <n v="4290.0"/>
        <n v="2351.0"/>
        <n v="4757.0"/>
        <n v="3158.0"/>
        <n v="3012.0"/>
        <n v="2333.0"/>
        <n v="2526.0"/>
        <n v="7548.0"/>
        <n v="2680.0"/>
        <n v="2837.0"/>
        <n v="3716.0"/>
        <n v="8283.0"/>
        <n v="1117.0"/>
        <n v="2582.0"/>
        <n v="2245.0"/>
        <n v="3586.0"/>
        <n v="2459.0"/>
        <n v="2681.0"/>
        <n v="5682.0"/>
        <n v="4673.0"/>
        <n v="4587.0"/>
        <n v="6009.0"/>
        <n v="2927.0"/>
        <n v="3604.0"/>
        <n v="1523.0"/>
        <n v="7199.0"/>
        <n v="1577.0"/>
        <n v="2741.0"/>
        <n v="3169.0"/>
        <n v="5296.0"/>
      </sharedItems>
    </cacheField>
    <cacheField name="Conversions" numFmtId="0">
      <sharedItems containsSemiMixedTypes="0" containsString="0" containsNumber="1" containsInteger="1">
        <n v="1050.0"/>
        <n v="72.0"/>
        <n v="1004.0"/>
        <n v="329.0"/>
        <n v="423.0"/>
        <n v="842.0"/>
        <n v="236.0"/>
        <n v="283.0"/>
        <n v="315.0"/>
        <n v="68.0"/>
        <n v="801.0"/>
        <n v="153.0"/>
        <n v="134.0"/>
        <n v="58.0"/>
        <n v="69.0"/>
        <n v="152.0"/>
        <n v="1366.0"/>
        <n v="342.0"/>
        <n v="620.0"/>
        <n v="128.0"/>
        <n v="279.0"/>
        <n v="304.0"/>
        <n v="91.0"/>
        <n v="266.0"/>
        <n v="73.0"/>
        <n v="1465.0"/>
        <n v="495.0"/>
        <n v="222.0"/>
        <n v="513.0"/>
        <n v="324.0"/>
        <n v="227.0"/>
        <n v="389.0"/>
        <n v="455.0"/>
        <n v="1477.0"/>
        <n v="787.0"/>
        <n v="77.0"/>
        <n v="219.0"/>
        <n v="70.0"/>
        <n v="609.0"/>
        <n v="234.0"/>
        <n v="206.0"/>
        <n v="1350.0"/>
        <n v="149.0"/>
        <n v="97.0"/>
        <n v="463.0"/>
        <n v="292.0"/>
        <n v="261.0"/>
        <n v="504.0"/>
        <n v="50.0"/>
        <n v="323.0"/>
        <n v="264.0"/>
        <n v="221.0"/>
        <n v="139.0"/>
        <n v="311.0"/>
        <n v="402.0"/>
        <n v="392.0"/>
        <n v="385.0"/>
        <n v="316.0"/>
        <n v="536.0"/>
        <n v="189.0"/>
        <n v="599.0"/>
        <n v="914.0"/>
        <n v="231.0"/>
        <n v="256.0"/>
        <n v="667.0"/>
        <n v="742.0"/>
        <n v="181.0"/>
        <n v="80.0"/>
        <n v="651.0"/>
        <n v="314.0"/>
        <n v="491.0"/>
        <n v="320.0"/>
        <n v="165.0"/>
        <n v="797.0"/>
        <n v="274.0"/>
        <n v="835.0"/>
        <n v="453.0"/>
        <n v="673.0"/>
        <n v="146.0"/>
        <n v="122.0"/>
        <n v="420.0"/>
        <n v="74.0"/>
        <n v="249.0"/>
        <n v="197.0"/>
        <n v="748.0"/>
        <n v="90.0"/>
        <n v="403.0"/>
        <n v="366.0"/>
        <n v="76.0"/>
        <n v="712.0"/>
        <n v="425.0"/>
        <n v="154.0"/>
        <n v="277.0"/>
        <n v="268.0"/>
        <n v="649.0"/>
        <n v="583.0"/>
        <n v="288.0"/>
        <n v="556.0"/>
        <n v="340.0"/>
        <n v="475.0"/>
        <n v="163.0"/>
        <n v="339.0"/>
        <n v="393.0"/>
        <n v="382.0"/>
        <n v="232.0"/>
        <n v="965.0"/>
        <n v="179.0"/>
        <n v="210.0"/>
        <n v="705.0"/>
        <n v="410.0"/>
        <n v="151.0"/>
        <n v="275.0"/>
        <n v="514.0"/>
        <n v="81.0"/>
        <n v="480.0"/>
        <n v="258.0"/>
        <n v="271.0"/>
        <n v="212.0"/>
        <n v="119.0"/>
        <n v="377.0"/>
        <n v="63.0"/>
        <n v="543.0"/>
        <n v="92.0"/>
        <n v="1087.0"/>
        <n v="871.0"/>
        <n v="244.0"/>
        <n v="111.0"/>
        <n v="160.0"/>
        <n v="159.0"/>
        <n v="1126.0"/>
        <n v="692.0"/>
        <n v="157.0"/>
        <n v="131.0"/>
        <n v="540.0"/>
        <n v="56.0"/>
        <n v="460.0"/>
        <n v="1490.0"/>
        <n v="117.0"/>
        <n v="62.0"/>
        <n v="250.0"/>
        <n v="614.0"/>
        <n v="550.0"/>
        <n v="104.0"/>
        <n v="273.0"/>
        <n v="619.0"/>
        <n v="83.0"/>
        <n v="204.0"/>
        <n v="85.0"/>
        <n v="1138.0"/>
        <n v="632.0"/>
        <n v="132.0"/>
        <n v="356.0"/>
        <n v="869.0"/>
        <n v="209.0"/>
        <n v="294.0"/>
        <n v="820.0"/>
        <n v="100.0"/>
        <n v="233.0"/>
        <n v="186.0"/>
        <n v="177.0"/>
        <n v="180.0"/>
        <n v="171.0"/>
        <n v="641.0"/>
        <n v="421.0"/>
        <n v="269.0"/>
        <n v="357.0"/>
        <n v="1110.0"/>
        <n v="349.0"/>
        <n v="112.0"/>
        <n v="713.0"/>
        <n v="434.0"/>
        <n v="185.0"/>
        <n v="194.0"/>
        <n v="107.0"/>
        <n v="454.0"/>
        <n v="397.0"/>
        <n v="144.0"/>
        <n v="253.0"/>
        <n v="184.0"/>
        <n v="286.0"/>
        <n v="966.0"/>
        <n v="857.0"/>
        <n v="208.0"/>
        <n v="512.0"/>
        <n v="272.0"/>
        <n v="818.0"/>
        <n v="94.0"/>
        <n v="252.0"/>
        <n v="166.0"/>
        <n v="60.0"/>
        <n v="235.0"/>
        <n v="224.0"/>
        <n v="312.0"/>
        <n v="427.0"/>
        <n v="343.0"/>
        <n v="192.0"/>
        <n v="885.0"/>
        <n v="240.0"/>
        <n v="554.0"/>
        <n v="127.0"/>
        <n v="352.0"/>
        <n v="494.0"/>
        <n v="118.0"/>
        <n v="887.0"/>
        <n v="526.0"/>
        <n v="124.0"/>
        <n v="230.0"/>
        <n v="394.0"/>
        <n v="400.0"/>
        <n v="211.0"/>
        <n v="677.0"/>
        <n v="426.0"/>
        <n v="364.0"/>
        <n v="193.0"/>
        <n v="376.0"/>
        <n v="646.0"/>
        <n v="390.0"/>
        <n v="354.0"/>
        <n v="805.0"/>
        <n v="102.0"/>
        <n v="947.0"/>
        <n v="108.0"/>
        <n v="582.0"/>
        <n v="285.0"/>
        <n v="302.0"/>
        <n v="558.0"/>
        <n v="330.0"/>
        <n v="700.0"/>
        <n v="1220.0"/>
        <n v="214.0"/>
        <n v="133.0"/>
        <n v="54.0"/>
        <n v="114.0"/>
        <n v="140.0"/>
        <n v="500.0"/>
        <n v="191.0"/>
        <n v="396.0"/>
        <n v="217.0"/>
        <n v="226.0"/>
        <n v="293.0"/>
        <n v="370.0"/>
        <n v="798.0"/>
        <n v="137.0"/>
        <n v="1161.0"/>
        <n v="1020.0"/>
        <n v="337.0"/>
        <n v="476.0"/>
        <n v="669.0"/>
        <n v="110.0"/>
        <n v="308.0"/>
        <n v="196.0"/>
        <n v="353.0"/>
        <n v="84.0"/>
        <n v="278.0"/>
        <n v="66.0"/>
        <n v="182.0"/>
        <n v="162.0"/>
        <n v="381.0"/>
        <n v="459.0"/>
        <n v="409.0"/>
        <n v="478.0"/>
        <n v="629.0"/>
        <n v="78.0"/>
        <n v="347.0"/>
        <n v="205.0"/>
        <n v="369.0"/>
        <n v="657.0"/>
        <n v="148.0"/>
        <n v="784.0"/>
        <n v="199.0"/>
        <n v="345.0"/>
        <n v="371.0"/>
        <n v="533.0"/>
        <n v="129.0"/>
        <n v="764.0"/>
        <n v="64.0"/>
        <n v="67.0"/>
        <n v="241.0"/>
        <n v="105.0"/>
        <n v="611.0"/>
        <n v="1051.0"/>
        <n v="213.0"/>
        <n v="1233.0"/>
        <n v="633.0"/>
        <n v="262.0"/>
        <n v="79.0"/>
        <n v="864.0"/>
        <n v="407.0"/>
        <n v="448.0"/>
        <n v="615.0"/>
        <n v="468.0"/>
        <n v="470.0"/>
        <n v="987.0"/>
        <n v="466.0"/>
        <n v="727.0"/>
        <n v="282.0"/>
        <n v="610.0"/>
        <n v="925.0"/>
        <n v="270.0"/>
        <n v="591.0"/>
        <n v="531.0"/>
        <n v="321.0"/>
        <n v="861.0"/>
        <n v="1117.0"/>
        <n v="447.0"/>
        <n v="106.0"/>
        <n v="281.0"/>
        <n v="346.0"/>
        <n v="623.0"/>
        <n v="734.0"/>
        <n v="156.0"/>
        <n v="52.0"/>
        <n v="461.0"/>
        <n v="1049.0"/>
        <n v="900.0"/>
        <n v="1140.0"/>
        <n v="398.0"/>
        <n v="363.0"/>
        <n v="280.0"/>
        <n v="362.0"/>
        <n v="806.0"/>
        <n v="555.0"/>
        <n v="635.0"/>
        <n v="303.0"/>
        <n v="687.0"/>
        <n v="225.0"/>
        <n v="391.0"/>
        <n v="101.0"/>
        <n v="1058.0"/>
        <n v="150.0"/>
        <n v="98.0"/>
        <n v="1231.0"/>
        <n v="202.0"/>
        <n v="82.0"/>
        <n v="147.0"/>
        <n v="579.0"/>
        <n v="675.0"/>
        <n v="1026.0"/>
        <n v="75.0"/>
        <n v="387.0"/>
        <n v="622.0"/>
        <n v="416.0"/>
        <n v="699.0"/>
        <n v="506.0"/>
        <n v="332.0"/>
        <n v="300.0"/>
        <n v="431.0"/>
        <n v="135.0"/>
        <n v="503.0"/>
        <n v="170.0"/>
        <n v="305.0"/>
      </sharedItems>
    </cacheField>
    <cacheField name="Revenue ($)" numFmtId="0">
      <sharedItems containsSemiMixedTypes="0" containsString="0" containsNumber="1">
        <n v="44057.81"/>
        <n v="1776.95"/>
        <n v="38185.58"/>
        <n v="16153.01"/>
        <n v="10767.36"/>
        <n v="30095.35"/>
        <n v="9051.92"/>
        <n v="8770.41"/>
        <n v="8186.92"/>
        <n v="1454.76"/>
        <n v="17583.19"/>
        <n v="6770.54"/>
        <n v="5430.62"/>
        <n v="2021.61"/>
        <n v="1915.67"/>
        <n v="5411.51"/>
        <n v="67053.58"/>
        <n v="16020.93"/>
        <n v="14045.96"/>
        <n v="3809.27"/>
        <n v="12516.53"/>
        <n v="11029.39"/>
        <n v="2023.52"/>
        <n v="6905.75"/>
        <n v="3008.02"/>
        <n v="32554.26"/>
        <n v="22717.09"/>
        <n v="4863.3"/>
        <n v="21488.64"/>
        <n v="11069.93"/>
        <n v="9720.95"/>
        <n v="13542.59"/>
        <n v="9446.97"/>
        <n v="57739.35"/>
        <n v="37167.64"/>
        <n v="3285.32"/>
        <n v="6283.67"/>
        <n v="3097.05"/>
        <n v="26863.09"/>
        <n v="8466.18"/>
        <n v="6085.26"/>
        <n v="44297.87"/>
        <n v="3011.08"/>
        <n v="5839.25"/>
        <n v="4683.87"/>
        <n v="19024.93"/>
        <n v="14271.04"/>
        <n v="7575.88"/>
        <n v="19296.61"/>
        <n v="1417.97"/>
        <n v="7864.03"/>
        <n v="7197.08"/>
        <n v="5995.54"/>
        <n v="5416.72"/>
        <n v="3451.72"/>
        <n v="7960.22"/>
        <n v="16211.43"/>
        <n v="10503.59"/>
        <n v="15680.33"/>
        <n v="7623.7"/>
        <n v="25589.07"/>
        <n v="7522.11"/>
        <n v="21497.82"/>
        <n v="42881.66"/>
        <n v="6969.48"/>
        <n v="12009.81"/>
        <n v="26187.05"/>
        <n v="34841.82"/>
        <n v="4170.99"/>
        <n v="1985.94"/>
        <n v="12777.5"/>
        <n v="3769.33"/>
        <n v="25707.33"/>
        <n v="11633.47"/>
        <n v="13726.43"/>
        <n v="10173.74"/>
        <n v="14030.19"/>
        <n v="5737.96"/>
        <n v="22653.27"/>
        <n v="6935.85"/>
        <n v="7828.58"/>
        <n v="39954.38"/>
        <n v="22155.6"/>
        <n v="21235.12"/>
        <n v="3662.38"/>
        <n v="4987.47"/>
        <n v="16149.09"/>
        <n v="2630.69"/>
        <n v="10186.71"/>
        <n v="5675.13"/>
        <n v="34417.1"/>
        <n v="3154.09"/>
        <n v="16546.78"/>
        <n v="2411.19"/>
        <n v="2987.87"/>
        <n v="13278.24"/>
        <n v="1589.54"/>
        <n v="21933.67"/>
        <n v="18317.42"/>
        <n v="3474.31"/>
        <n v="10032.68"/>
        <n v="13205.85"/>
        <n v="28462.28"/>
        <n v="13032.2"/>
        <n v="12982.87"/>
        <n v="10129.93"/>
        <n v="20281.1"/>
        <n v="10933.24"/>
        <n v="12454.41"/>
        <n v="13030.17"/>
        <n v="3330.38"/>
        <n v="7194.21"/>
        <n v="13450.51"/>
        <n v="13065.99"/>
        <n v="7413.59"/>
        <n v="20611.55"/>
        <n v="6281.84"/>
        <n v="5226.49"/>
        <n v="14660.71"/>
        <n v="18445.79"/>
        <n v="15625.13"/>
        <n v="12949.06"/>
        <n v="3906.93"/>
        <n v="5650.33"/>
        <n v="11377.73"/>
        <n v="1676.55"/>
        <n v="5862.69"/>
        <n v="22235.6"/>
        <n v="6574.5"/>
        <n v="11404.9"/>
        <n v="8444.51"/>
        <n v="10159.62"/>
        <n v="5060.61"/>
        <n v="9886.08"/>
        <n v="11159.76"/>
        <n v="1280.48"/>
        <n v="15854.56"/>
        <n v="10082.05"/>
        <n v="15636.4"/>
        <n v="3916.55"/>
        <n v="24714.23"/>
        <n v="31779.19"/>
        <n v="13828.94"/>
        <n v="10454.26"/>
        <n v="2500.08"/>
        <n v="7144.93"/>
        <n v="4035.58"/>
        <n v="4947.96"/>
        <n v="55827.12"/>
        <n v="15573.47"/>
        <n v="5138.09"/>
        <n v="4556.02"/>
        <n v="11712.11"/>
        <n v="2210.67"/>
        <n v="22477.98"/>
        <n v="68626.38"/>
        <n v="2382.66"/>
        <n v="2897.53"/>
        <n v="5553.47"/>
        <n v="21915.46"/>
        <n v="18499.93"/>
        <n v="4891.61"/>
        <n v="15960.56"/>
        <n v="10538.89"/>
        <n v="20990.88"/>
        <n v="4220.76"/>
        <n v="3398.42"/>
        <n v="9060.43"/>
        <n v="4022.86"/>
        <n v="3550.58"/>
        <n v="54603.35"/>
        <n v="13139.92"/>
        <n v="6549.61"/>
        <n v="11187.91"/>
        <n v="39235.23"/>
        <n v="5894.26"/>
        <n v="13049.79"/>
        <n v="30063.62"/>
        <n v="16194.23"/>
        <n v="2387.48"/>
        <n v="4216.91"/>
        <n v="7163.56"/>
        <n v="6623.32"/>
        <n v="2278.27"/>
        <n v="7361.64"/>
        <n v="3338.16"/>
        <n v="7278.66"/>
        <n v="5476.94"/>
        <n v="2700.22"/>
        <n v="5480.58"/>
        <n v="1977.57"/>
        <n v="24436.75"/>
        <n v="5944.56"/>
        <n v="31666.03"/>
        <n v="6435.33"/>
        <n v="10047.75"/>
        <n v="5630.4"/>
        <n v="8169.53"/>
        <n v="14289.54"/>
        <n v="23560.92"/>
        <n v="8833.3"/>
        <n v="8455.84"/>
        <n v="8775.63"/>
        <n v="4926.02"/>
        <n v="32945.85"/>
        <n v="12284.95"/>
        <n v="4724.09"/>
        <n v="6699.92"/>
        <n v="3624.74"/>
        <n v="9374.86"/>
        <n v="16049.05"/>
        <n v="13268.68"/>
        <n v="4043.13"/>
        <n v="7504.58"/>
        <n v="6676.78"/>
        <n v="7428.64"/>
        <n v="6465.78"/>
        <n v="40922.84"/>
        <n v="24435.88"/>
        <n v="7721.66"/>
        <n v="3511.94"/>
        <n v="12587.92"/>
        <n v="6962.39"/>
        <n v="38366.62"/>
        <n v="3037.32"/>
        <n v="8047.79"/>
        <n v="6632.31"/>
        <n v="6129.07"/>
        <n v="6166.63"/>
        <n v="1536.68"/>
        <n v="14197.01"/>
        <n v="9004.87"/>
        <n v="5517.32"/>
        <n v="6725.07"/>
        <n v="6811.29"/>
        <n v="18914.49"/>
        <n v="14682.74"/>
        <n v="6212.2"/>
        <n v="39752.95"/>
        <n v="14254.85"/>
        <n v="5278.77"/>
        <n v="25071.19"/>
        <n v="1979.71"/>
        <n v="5643.53"/>
        <n v="10829.25"/>
        <n v="21982.0"/>
        <n v="3997.89"/>
        <n v="31117.39"/>
        <n v="16577.8"/>
        <n v="4802.17"/>
        <n v="33744.35"/>
        <n v="10078.77"/>
        <n v="18445.81"/>
        <n v="1761.1"/>
        <n v="8402.39"/>
        <n v="9769.93"/>
        <n v="15786.93"/>
        <n v="3319.54"/>
        <n v="11449.83"/>
        <n v="14281.33"/>
        <n v="5317.92"/>
        <n v="6804.51"/>
        <n v="7991.0"/>
        <n v="14132.67"/>
        <n v="13270.98"/>
        <n v="14412.06"/>
        <n v="16363.21"/>
        <n v="13523.31"/>
        <n v="38664.96"/>
        <n v="2433.3"/>
        <n v="2421.47"/>
        <n v="33680.19"/>
        <n v="2337.43"/>
        <n v="5195.85"/>
        <n v="21022.93"/>
        <n v="8666.45"/>
        <n v="8074.92"/>
        <n v="14112.72"/>
        <n v="15656.97"/>
        <n v="27277.55"/>
        <n v="30916.12"/>
        <n v="6941.89"/>
        <n v="4663.76"/>
        <n v="2294.94"/>
        <n v="2981.58"/>
        <n v="7652.29"/>
        <n v="3158.41"/>
        <n v="4651.2"/>
        <n v="12328.6"/>
        <n v="5999.55"/>
        <n v="7510.12"/>
        <n v="2912.78"/>
        <n v="8241.9"/>
        <n v="8714.02"/>
        <n v="9943.43"/>
        <n v="7953.63"/>
        <n v="4166.8"/>
        <n v="9319.33"/>
        <n v="10653.94"/>
        <n v="18007.07"/>
        <n v="13026.85"/>
        <n v="6408.88"/>
        <n v="32255.72"/>
        <n v="3196.78"/>
        <n v="16562.32"/>
        <n v="7219.59"/>
        <n v="14921.51"/>
        <n v="44875.57"/>
        <n v="9456.33"/>
        <n v="13202.64"/>
        <n v="4507.42"/>
        <n v="18845.21"/>
        <n v="2588.58"/>
        <n v="11280.6"/>
        <n v="6155.27"/>
        <n v="11092.13"/>
        <n v="7451.04"/>
        <n v="16743.62"/>
        <n v="2987.67"/>
        <n v="11715.2"/>
        <n v="8509.11"/>
        <n v="2024.23"/>
        <n v="6732.57"/>
        <n v="7792.99"/>
        <n v="7976.42"/>
        <n v="4222.38"/>
        <n v="13782.54"/>
        <n v="9101.94"/>
        <n v="11179.32"/>
        <n v="21305.93"/>
        <n v="17715.38"/>
        <n v="1774.3"/>
        <n v="16831.97"/>
        <n v="5402.3"/>
        <n v="12154.13"/>
        <n v="9322.55"/>
        <n v="2929.99"/>
        <n v="8473.12"/>
        <n v="6989.75"/>
        <n v="10046.79"/>
        <n v="17613.07"/>
        <n v="22486.76"/>
        <n v="4376.81"/>
        <n v="6895.63"/>
        <n v="6201.79"/>
        <n v="32726.51"/>
        <n v="7200.76"/>
        <n v="8143.12"/>
        <n v="9311.13"/>
        <n v="3343.37"/>
        <n v="17871.82"/>
        <n v="4547.68"/>
        <n v="18333.21"/>
        <n v="6636.02"/>
        <n v="4210.65"/>
        <n v="9931.86"/>
        <n v="6731.19"/>
        <n v="15689.67"/>
        <n v="7377.97"/>
        <n v="6741.34"/>
        <n v="2081.76"/>
        <n v="2279.48"/>
        <n v="19744.82"/>
        <n v="9122.05"/>
        <n v="6568.5"/>
        <n v="6167.95"/>
        <n v="2282.2"/>
        <n v="29225.7"/>
        <n v="33513.51"/>
        <n v="9083.63"/>
        <n v="6251.2"/>
        <n v="7966.75"/>
        <n v="34484.55"/>
        <n v="30807.82"/>
        <n v="4124.35"/>
        <n v="8450.44"/>
        <n v="3294.51"/>
        <n v="22987.15"/>
        <n v="18533.24"/>
        <n v="19868.19"/>
        <n v="18072.54"/>
        <n v="28510.72"/>
        <n v="21302.17"/>
        <n v="21201.89"/>
        <n v="38057.08"/>
        <n v="9006.67"/>
        <n v="20864.92"/>
        <n v="10703.23"/>
        <n v="32688.85"/>
        <n v="8068.34"/>
        <n v="13205.54"/>
        <n v="22081.73"/>
        <n v="39618.52"/>
        <n v="8169.16"/>
        <n v="1915.25"/>
        <n v="14344.86"/>
        <n v="3369.14"/>
        <n v="22828.83"/>
        <n v="13678.9"/>
        <n v="12692.27"/>
        <n v="5579.2"/>
        <n v="13839.02"/>
        <n v="24287.78"/>
        <n v="12376.85"/>
        <n v="9468.03"/>
        <n v="14226.07"/>
        <n v="54203.44"/>
        <n v="21593.89"/>
        <n v="16347.05"/>
        <n v="3421.68"/>
        <n v="7416.47"/>
        <n v="10745.3"/>
        <n v="30555.54"/>
        <n v="31780.66"/>
        <n v="6681.59"/>
        <n v="4362.96"/>
        <n v="2282.6"/>
        <n v="4204.74"/>
        <n v="2107.28"/>
        <n v="17268.66"/>
        <n v="2667.29"/>
        <n v="23259.9"/>
        <n v="12160.2"/>
        <n v="41223.3"/>
        <n v="39233.34"/>
        <n v="19740.75"/>
        <n v="6899.5"/>
        <n v="8036.08"/>
        <n v="8216.87"/>
        <n v="6260.06"/>
        <n v="2221.57"/>
        <n v="13340.31"/>
        <n v="14151.63"/>
        <n v="38757.61"/>
        <n v="14734.04"/>
        <n v="24448.77"/>
        <n v="2778.03"/>
        <n v="2582.1"/>
        <n v="22727.97"/>
        <n v="7895.42"/>
        <n v="13984.51"/>
        <n v="8339.6"/>
        <n v="27315.97"/>
        <n v="25901.88"/>
        <n v="4481.19"/>
        <n v="43922.24"/>
        <n v="6239.36"/>
        <n v="16349.69"/>
        <n v="3068.18"/>
        <n v="9774.71"/>
        <n v="3448.48"/>
        <n v="48882.45"/>
        <n v="4245.73"/>
        <n v="10580.59"/>
        <n v="26917.76"/>
        <n v="4632.56"/>
        <n v="60493.62"/>
        <n v="11473.55"/>
        <n v="4069.82"/>
        <n v="7633.28"/>
        <n v="4024.75"/>
        <n v="8123.31"/>
        <n v="5007.65"/>
        <n v="3264.12"/>
        <n v="6955.43"/>
        <n v="15900.17"/>
        <n v="3776.7"/>
        <n v="28412.14"/>
        <n v="17722.12"/>
        <n v="7321.65"/>
        <n v="17670.18"/>
        <n v="29820.87"/>
        <n v="15943.84"/>
        <n v="9579.04"/>
        <n v="19442.77"/>
        <n v="49816.77"/>
        <n v="2523.16"/>
        <n v="15482.29"/>
        <n v="4473.4"/>
        <n v="14875.1"/>
        <n v="4741.01"/>
        <n v="3721.23"/>
        <n v="8942.61"/>
        <n v="23969.03"/>
        <n v="8699.23"/>
        <n v="18052.34"/>
        <n v="22239.34"/>
        <n v="20106.09"/>
        <n v="12328.81"/>
        <n v="14432.56"/>
        <n v="13906.64"/>
        <n v="17251.98"/>
        <n v="5931.15"/>
        <n v="11873.95"/>
        <n v="5055.39"/>
        <n v="12463.52"/>
        <n v="9358.58"/>
        <n v="3329.38"/>
        <n v="23922.52"/>
        <n v="13494.6"/>
      </sharedItems>
    </cacheField>
    <cacheField name="CTR" numFmtId="0">
      <sharedItems containsSemiMixedTypes="0" containsString="0" containsNumber="1">
        <n v="0.04565714475079533"/>
        <n v="0.017371612923239185"/>
        <n v="0.04692383326895389"/>
        <n v="0.041198420382719945"/>
        <n v="0.04599373907216819"/>
        <n v="0.03987052073862746"/>
        <n v="0.018524662685246628"/>
        <n v="0.043739186008448554"/>
        <n v="0.03945391478547977"/>
        <n v="0.027787934186471665"/>
        <n v="0.049742595783083106"/>
        <n v="0.03973847638820594"/>
        <n v="0.01641254315304948"/>
        <n v="0.0241984606013622"/>
        <n v="0.02734564105248008"/>
        <n v="0.02270621725874644"/>
        <n v="0.048682727906851964"/>
        <n v="0.014829946560276284"/>
        <n v="0.03574550752792618"/>
        <n v="0.036476261127596436"/>
        <n v="0.011633895131086142"/>
        <n v="0.011226576786089749"/>
        <n v="0.03376936167757939"/>
        <n v="0.035626278767604054"/>
        <n v="0.013799062382370051"/>
        <n v="0.04005373191611851"/>
        <n v="0.020392065408252853"/>
        <n v="0.03802210539388169"/>
        <n v="0.04446214163195295"/>
        <n v="0.03065836081592769"/>
        <n v="0.041356777438631184"/>
        <n v="0.015183526842537135"/>
        <n v="0.04118684659620542"/>
        <n v="0.04149566561991962"/>
        <n v="0.04616222842743309"/>
        <n v="0.04130180203799836"/>
        <n v="0.022966943824781993"/>
        <n v="0.04440361220206735"/>
        <n v="0.0425369685767098"/>
        <n v="0.016454189129533264"/>
        <n v="0.015512521545168812"/>
        <n v="0.04896775483899642"/>
        <n v="0.034976330698170716"/>
        <n v="0.03289740568315722"/>
        <n v="0.00896395966536247"/>
        <n v="0.040411871804029866"/>
        <n v="0.027405703719345503"/>
        <n v="0.014230892228973457"/>
        <n v="0.04961769703306757"/>
        <n v="0.045967716853792806"/>
        <n v="0.012213550573676192"/>
        <n v="0.014630517440899321"/>
        <n v="0.0394650295987722"/>
        <n v="0.02211751216060055"/>
        <n v="0.02147627484958819"/>
        <n v="0.02871420141373812"/>
        <n v="0.016100892920371073"/>
        <n v="0.03858015210900736"/>
        <n v="0.02175912990738911"/>
        <n v="0.019551971620489744"/>
        <n v="0.02118748798506028"/>
        <n v="0.023634486447487904"/>
        <n v="0.027004909983633387"/>
        <n v="0.0410397422760212"/>
        <n v="0.02566139667911337"/>
        <n v="0.013458020372181969"/>
        <n v="0.04541593651716776"/>
        <n v="0.027711236598538077"/>
        <n v="0.04171411700198237"/>
        <n v="0.0232131852981419"/>
        <n v="0.021982310093652445"/>
        <n v="0.01800683873814251"/>
        <n v="0.03675345447826263"/>
        <n v="0.024009135726819487"/>
        <n v="0.03180183409850473"/>
        <n v="0.021138571564191008"/>
        <n v="0.03670986894504381"/>
        <n v="0.021144890225911893"/>
        <n v="0.04182831982965516"/>
        <n v="0.023962194972909114"/>
        <n v="0.045700182970937406"/>
        <n v="0.030210962018258115"/>
        <n v="0.02911259714440629"/>
        <n v="0.04299572109306623"/>
        <n v="0.014102766441954321"/>
        <n v="0.011957250185178653"/>
        <n v="0.04354235986690556"/>
        <n v="0.010611219039925112"/>
        <n v="0.013526219207750018"/>
        <n v="0.010415265761121322"/>
        <n v="0.04791800432807781"/>
        <n v="0.015050488091526155"/>
        <n v="0.04386676909251663"/>
        <n v="0.01948353626667183"/>
        <n v="0.01634257470672284"/>
        <n v="0.03616358980107439"/>
        <n v="0.04665119078325165"/>
        <n v="0.03430222956234517"/>
        <n v="0.023255993216680797"/>
        <n v="0.027803090524846346"/>
        <n v="0.0322174116307905"/>
        <n v="0.012598217581606286"/>
        <n v="0.025688292624643692"/>
        <n v="0.031253915807662125"/>
        <n v="0.020438766549021558"/>
        <n v="0.01166535095441199"/>
        <n v="0.030163291675020607"/>
        <n v="0.01130582883266477"/>
        <n v="0.01774888212218473"/>
        <n v="0.013019980786673036"/>
        <n v="0.009892955917853979"/>
        <n v="0.02379177722787037"/>
        <n v="0.04345205479452055"/>
        <n v="0.020533922322067914"/>
        <n v="0.011019861378065118"/>
        <n v="0.04436995680169533"/>
        <n v="0.0317291807718348"/>
        <n v="0.01815973276647434"/>
        <n v="0.03950133071858804"/>
        <n v="0.027936196397976173"/>
        <n v="0.016595042206077944"/>
        <n v="0.04003522050282888"/>
        <n v="0.024700806286382316"/>
        <n v="0.0277218123702907"/>
        <n v="0.04291327979629811"/>
        <n v="0.012447360128341021"/>
        <n v="0.019834315755934362"/>
        <n v="0.044647258163894026"/>
        <n v="0.04803482679097759"/>
        <n v="0.034004261185612235"/>
        <n v="0.018734495720945807"/>
        <n v="0.03827335234906562"/>
        <n v="0.04908432488360062"/>
        <n v="0.04303885919848859"/>
        <n v="0.046263454324293934"/>
        <n v="0.02656288094572657"/>
        <n v="0.01737189145007716"/>
        <n v="0.012908307261469796"/>
        <n v="0.03054365299572652"/>
        <n v="0.029125552909152773"/>
        <n v="0.030237286767339895"/>
        <n v="0.04465642248591265"/>
        <n v="0.0167144858877694"/>
        <n v="0.019971191653365517"/>
        <n v="0.03729000509078568"/>
        <n v="0.017001602309282386"/>
        <n v="0.016201767891894425"/>
        <n v="0.023411858531946873"/>
        <n v="0.04412172958167023"/>
        <n v="0.047672349648992265"/>
        <n v="0.03667151833575917"/>
        <n v="0.03987227577038127"/>
        <n v="0.045166850329179734"/>
        <n v="0.026822126390885374"/>
        <n v="0.03362521891418564"/>
        <n v="0.041910390491049526"/>
        <n v="0.0271092549447281"/>
        <n v="0.01400822788106025"/>
        <n v="0.01486013986013986"/>
        <n v="0.02422570730554023"/>
        <n v="0.04894453121064034"/>
        <n v="0.012399436012275026"/>
        <n v="0.019562112731209544"/>
        <n v="0.03452032153857712"/>
        <n v="0.019635606033789627"/>
        <n v="0.025029200734189887"/>
        <n v="0.030696838970170563"/>
        <n v="0.037634914954133625"/>
        <n v="0.028464188016322375"/>
        <n v="0.014884153223129522"/>
        <n v="0.04726759198651706"/>
        <n v="0.03626041310053635"/>
        <n v="0.025598333541151704"/>
        <n v="0.027087068564469"/>
        <n v="0.04592248969129611"/>
        <n v="0.016826612729698327"/>
        <n v="0.030065507311938338"/>
        <n v="0.037195927566643354"/>
        <n v="0.03276878956766409"/>
        <n v="0.03745305174643105"/>
        <n v="0.019760222354356514"/>
        <n v="0.021714536582071155"/>
        <n v="0.03802272099335273"/>
        <n v="0.017957477412684858"/>
        <n v="0.03686163497953406"/>
        <n v="0.015617104504408102"/>
        <n v="0.03179071560488426"/>
        <n v="0.03314774459294343"/>
        <n v="0.006915488660632563"/>
        <n v="0.02073092147657185"/>
        <n v="0.029909134555541724"/>
        <n v="0.04013013761528068"/>
        <n v="0.022051347971907026"/>
        <n v="0.041762954901898026"/>
        <n v="0.02887101234924185"/>
        <n v="0.030238163323665183"/>
        <n v="0.009027404621171414"/>
        <n v="0.010081261886712153"/>
        <n v="0.0207712402568441"/>
        <n v="0.044247580621582905"/>
        <n v="0.014634375513847454"/>
        <n v="0.014371069182389937"/>
        <n v="0.026060739379666412"/>
        <n v="0.01607620721332428"/>
        <n v="0.03462651786852118"/>
        <n v="0.014355185044840218"/>
        <n v="0.04185887429182818"/>
        <n v="0.009087727855953682"/>
        <n v="0.03096392030156166"/>
        <n v="0.019611055924791856"/>
        <n v="0.03034563500567086"/>
        <n v="0.02090794940293099"/>
        <n v="0.04363636363636364"/>
        <n v="0.04189465847757305"/>
        <n v="0.021904906406819854"/>
        <n v="0.03349083349083349"/>
        <n v="0.026499471742556766"/>
        <n v="0.03511778580598931"/>
        <n v="0.0358787787862876"/>
        <n v="0.011279922268350853"/>
        <n v="0.00807698917339749"/>
        <n v="0.0392846999634844"/>
        <n v="0.02457680883582778"/>
        <n v="0.039908453006715125"/>
        <n v="0.01671946105112876"/>
        <n v="0.013324470495815331"/>
        <n v="0.045577657799860095"/>
        <n v="0.015697517301342983"/>
        <n v="0.017343856572152393"/>
        <n v="0.010201827492720153"/>
        <n v="0.01656234667935356"/>
        <n v="0.04279232658450212"/>
        <n v="0.04676809689612659"/>
        <n v="0.04764086120018323"/>
        <n v="0.048248272517880955"/>
        <n v="0.04736639371761578"/>
        <n v="0.04784630257645741"/>
        <n v="0.023651844843897825"/>
        <n v="0.039642726049186346"/>
        <n v="0.030264160528321055"/>
        <n v="0.015127278223520965"/>
        <n v="0.02251836492141963"/>
        <n v="0.028908135737611813"/>
        <n v="0.0332697486535009"/>
        <n v="0.03420152994741764"/>
        <n v="0.018588176748679068"/>
        <n v="0.010812538784106509"/>
        <n v="0.024931673077244212"/>
        <n v="0.04299645898032385"/>
        <n v="0.028737404173615685"/>
        <n v="0.04110770167118911"/>
        <n v="0.019965683980658244"/>
        <n v="0.03218182344372522"/>
        <n v="0.03708337433403152"/>
        <n v="0.02862221244937973"/>
        <n v="0.011644478723047517"/>
        <n v="0.022779208531321413"/>
        <n v="0.021569757865261076"/>
        <n v="0.03910162987099772"/>
        <n v="0.011293118480301149"/>
        <n v="0.038894738946723004"/>
        <n v="0.024187508183841824"/>
        <n v="0.011688912660684989"/>
        <n v="0.02813111545988258"/>
        <n v="0.03428046366977665"/>
        <n v="0.028393588544522206"/>
        <n v="0.03417887099819295"/>
        <n v="0.032475104207154444"/>
        <n v="0.03049863822638532"/>
        <n v="0.02200740843452251"/>
        <n v="0.022177767267660724"/>
        <n v="0.04312233457817141"/>
        <n v="0.022667098420922304"/>
        <n v="0.024039822942903556"/>
        <n v="0.03589641974407375"/>
        <n v="0.02562925988517196"/>
        <n v="0.04203743915073587"/>
        <n v="0.04098677815422656"/>
        <n v="0.0383302406617845"/>
        <n v="0.04690696834757492"/>
        <n v="0.04183698004327963"/>
        <n v="0.0196906445307787"/>
        <n v="0.013024008632317237"/>
        <n v="0.045841519318926"/>
        <n v="0.018932651542121103"/>
        <n v="0.015279073035502126"/>
        <n v="0.015936678668550506"/>
        <n v="0.013312809988028048"/>
        <n v="0.0434956260837376"/>
        <n v="0.01583634805096689"/>
        <n v="0.04355797643205525"/>
        <n v="0.018211861241987547"/>
        <n v="0.0429179774655896"/>
        <n v="0.019215030052807447"/>
        <n v="0.038885804182861375"/>
        <n v="0.0185530956403189"/>
        <n v="0.04823458404587064"/>
        <n v="0.01620785891170189"/>
        <n v="0.04322380545691554"/>
        <n v="0.026258608436907253"/>
        <n v="0.01761278959490584"/>
        <n v="0.02658750015255623"/>
        <n v="0.043530240724483665"/>
        <n v="0.034712156120783044"/>
        <n v="0.024093081335301702"/>
        <n v="0.009600013533058725"/>
        <n v="0.02768022476214801"/>
        <n v="0.033509572974862276"/>
        <n v="0.0361469687387622"/>
        <n v="0.04102727744126546"/>
        <n v="0.009069479403891486"/>
        <n v="0.04277273440703968"/>
        <n v="0.007923970326184488"/>
        <n v="0.033538522637013506"/>
        <n v="0.04877528637582257"/>
        <n v="0.03941622838511848"/>
        <n v="0.0442449503045848"/>
        <n v="0.046574768069605324"/>
        <n v="0.02036437897248801"/>
        <n v="0.031005770214009205"/>
        <n v="0.0443314362990928"/>
        <n v="0.017893834611184822"/>
        <n v="0.014373853150014626"/>
        <n v="0.043960425917144455"/>
        <n v="0.039376051812943035"/>
        <n v="0.02023226747213832"/>
        <n v="0.029632063074901446"/>
        <n v="0.023132460444396253"/>
        <n v="0.029350296507223282"/>
        <n v="0.042917684240770006"/>
        <n v="0.039987199829331056"/>
        <n v="0.015960572788474407"/>
        <n v="0.04352734570998495"/>
        <n v="0.021220159151193633"/>
        <n v="0.01161789239747767"/>
        <n v="0.027937869898948132"/>
        <n v="0.01869131369028346"/>
        <n v="0.03282047972117114"/>
        <n v="0.04877693439589738"/>
        <n v="0.03832640522793362"/>
        <n v="0.04802263657354884"/>
        <n v="0.023294779491657952"/>
        <n v="0.014704750173223497"/>
        <n v="0.008192543234318556"/>
        <n v="0.021532697680146748"/>
        <n v="0.04057556024241678"/>
        <n v="0.019015445696275272"/>
        <n v="0.010960271615080253"/>
        <n v="0.03277549540840986"/>
        <n v="0.03685641371267597"/>
        <n v="0.04319722850996643"/>
        <n v="0.04000149608213491"/>
        <n v="0.03739277374232841"/>
        <n v="0.01740003888276845"/>
        <n v="0.005180682063236155"/>
        <n v="0.018734828082588348"/>
        <n v="0.03690639361444812"/>
        <n v="0.04793704652925676"/>
        <n v="0.018023422390946207"/>
        <n v="0.02520372828319529"/>
        <n v="0.010926365795724466"/>
        <n v="0.023834604743769316"/>
        <n v="0.03979037993636534"/>
        <n v="0.028198816510646554"/>
        <n v="0.030123479422278672"/>
        <n v="0.01817307317326816"/>
        <n v="0.020783650580294556"/>
        <n v="0.030892314423445033"/>
        <n v="0.042440679050864814"/>
        <n v="0.024190848214285715"/>
        <n v="0.01710584400149411"/>
        <n v="0.03759505113706861"/>
        <n v="0.04742450754361328"/>
        <n v="0.03166886814923887"/>
        <n v="0.038461121940654104"/>
        <n v="0.032130182830959975"/>
        <n v="0.013682315658345939"/>
        <n v="0.037416061079937446"/>
        <n v="0.04346624998920898"/>
        <n v="0.03663965545943217"/>
        <n v="0.02025520467269334"/>
        <n v="0.026411763083119533"/>
        <n v="0.03284116903684034"/>
        <n v="0.030112581244196843"/>
        <n v="0.034356961712493604"/>
        <n v="0.011700001708029446"/>
        <n v="0.0497206295877004"/>
        <n v="0.03258469737342977"/>
        <n v="0.03307477922165139"/>
        <n v="0.046556429603467654"/>
        <n v="0.020725462102620117"/>
        <n v="0.048695760938779226"/>
        <n v="0.039390400622823715"/>
        <n v="0.019265331170823654"/>
        <n v="0.019115275060914923"/>
        <n v="0.020995818988207248"/>
        <n v="0.020323866965855333"/>
        <n v="0.04437219927950092"/>
        <n v="0.007712552289663961"/>
        <n v="0.03811821471652593"/>
        <n v="0.01782632799506516"/>
        <n v="0.031773301737756714"/>
        <n v="0.03655931492003433"/>
        <n v="0.03241012273270338"/>
        <n v="0.03002372959833314"/>
        <n v="0.032952768220206444"/>
        <n v="0.039979439145582274"/>
        <n v="0.04187650703537527"/>
        <n v="0.034378173267062155"/>
        <n v="0.0122102892485588"/>
        <n v="0.028313671061762666"/>
        <n v="0.04057921688144928"/>
        <n v="0.04309747172030083"/>
        <n v="0.027213431950816092"/>
        <n v="0.013125099132168671"/>
        <n v="0.033442322643860566"/>
        <n v="0.01710416578318703"/>
        <n v="0.018308133379331674"/>
        <n v="0.03269209487624036"/>
        <n v="0.04257496032740332"/>
        <n v="0.013660630168533444"/>
        <n v="0.04882255086000336"/>
        <n v="0.029405370936653092"/>
        <n v="0.030690053799297498"/>
        <n v="0.04167737598608118"/>
        <n v="0.012003339874807877"/>
        <n v="0.03633428981348637"/>
        <n v="0.027822584896311058"/>
        <n v="0.01895508953080946"/>
        <n v="0.046536039188243526"/>
        <n v="0.012584186553509557"/>
        <n v="0.02915387381406799"/>
        <n v="0.027866364003509406"/>
        <n v="0.04503767910439228"/>
        <n v="0.020176214886428782"/>
        <n v="0.03333263085428477"/>
        <n v="0.044210917883381384"/>
        <n v="0.029826128788399422"/>
        <n v="0.025173553840176523"/>
        <n v="0.010961382691114126"/>
        <n v="0.022547980689979985"/>
        <n v="0.016487063614242438"/>
        <n v="0.03601883553785007"/>
        <n v="0.04829803640770015"/>
        <n v="0.03241419603170966"/>
        <n v="0.04951944395471714"/>
        <n v="0.02070261827231091"/>
        <n v="0.023426512406196424"/>
        <n v="0.04610015279899986"/>
        <n v="0.0381741889264149"/>
        <n v="0.03364547111001355"/>
        <n v="0.03826432638210423"/>
        <n v="0.013308418976435171"/>
        <n v="0.029830999018037107"/>
        <n v="0.04858451603213937"/>
        <n v="0.022699709031475612"/>
        <n v="0.04518901049259769"/>
        <n v="0.03633886984796555"/>
        <n v="0.037174051121830635"/>
        <n v="0.01896684380983055"/>
        <n v="0.038683208848032176"/>
        <n v="0.01246706812194204"/>
        <n v="0.02709536573907757"/>
        <n v="0.01403618857560203"/>
        <n v="0.02880989571007084"/>
        <n v="0.044050098687501704"/>
        <n v="0.025941217634709586"/>
        <n v="0.02324042551042056"/>
        <n v="0.04197815961485772"/>
        <n v="0.03260658511553077"/>
        <n v="0.03431634228333165"/>
        <n v="0.04203548657606453"/>
        <n v="0.04584056250570724"/>
        <n v="0.03897297116701747"/>
        <n v="0.034045420850461625"/>
        <n v="0.04294810153231634"/>
        <n v="0.017822941051287507"/>
        <n v="0.01419998097993383"/>
        <n v="0.02029514249199882"/>
        <n v="0.048594325675263415"/>
        <n v="0.009458326629804314"/>
        <n v="0.022316335350043216"/>
        <n v="0.04043442239112424"/>
        <n v="0.023822335598647455"/>
        <n v="0.02376120902906617"/>
        <n v="0.031657751484879613"/>
        <n v="0.0384513876200337"/>
        <n v="0.04148504567527499"/>
        <n v="0.046108380326286905"/>
        <n v="0.03602539583570645"/>
        <n v="0.04563028092164749"/>
        <n v="0.021723799133218005"/>
        <n v="0.02908764491300445"/>
        <n v="0.04539063435917806"/>
        <n v="0.03187066974595843"/>
        <n v="0.023478092572466466"/>
        <n v="0.017959520642637644"/>
        <n v="0.027005743931813972"/>
        <n v="0.04603695740600849"/>
        <n v="0.03773746241217632"/>
      </sharedItems>
    </cacheField>
    <cacheField name="CPC" numFmtId="0">
      <sharedItems containsSemiMixedTypes="0" containsString="0" containsNumber="1">
        <n v="1.107029577209218"/>
        <n v="5.436651785714286"/>
        <n v="0.6754873713751169"/>
        <n v="1.6937787166622658"/>
        <n v="0.8677418620532665"/>
        <n v="0.7505523884411244"/>
        <n v="3.9889328358208958"/>
        <n v="1.2579044903777619"/>
        <n v="3.0148801128349785"/>
        <n v="1.2485739164086687"/>
        <n v="0.6363550149469127"/>
        <n v="4.815311640696609"/>
        <n v="3.7302541630148993"/>
        <n v="1.663121935272965"/>
        <n v="1.6634593301435407"/>
        <n v="5.0625741839762615"/>
        <n v="0.6436867629229582"/>
        <n v="3.4686415525114156"/>
        <n v="1.9109239130434783"/>
        <n v="0.7233719747813708"/>
        <n v="3.381817572099262"/>
        <n v="2.7588706015891034"/>
        <n v="0.8858765748451848"/>
        <n v="2.1425361559421505"/>
        <n v="1.9679417234965901"/>
        <n v="1.112234495608198"/>
        <n v="1.5468920282542886"/>
        <n v="1.2014879332244601"/>
        <n v="1.2803885367869936"/>
        <n v="3.5222089420097387"/>
        <n v="1.3481566181566182"/>
        <n v="3.0407446808510636"/>
        <n v="2.1523050139275766"/>
        <n v="0.38790199081163856"/>
        <n v="0.7308704632634996"/>
        <n v="0.926836648328396"/>
        <n v="2.0902538631346577"/>
        <n v="0.8735693273190822"/>
        <n v="2.1430065181966325"/>
        <n v="3.738048780487805"/>
        <n v="3.3578721859114014"/>
        <n v="0.37146698434309056"/>
        <n v="1.5564014832293949"/>
        <n v="1.786130358191427"/>
        <n v="2.455706174591909"/>
        <n v="1.0840612200905368"/>
        <n v="1.26051853394419"/>
        <n v="3.1744522471910113"/>
        <n v="1.3336746789594995"/>
        <n v="1.7982645466847091"/>
        <n v="4.154185336048879"/>
        <n v="2.8414527845036317"/>
        <n v="2.5896830065359477"/>
        <n v="2.985601458080194"/>
        <n v="3.2378830462375343"/>
        <n v="3.4670266724967207"/>
        <n v="1.2837864854058376"/>
        <n v="0.9463726114649682"/>
        <n v="2.0063075477607266"/>
        <n v="2.591154976900462"/>
        <n v="1.456049902786779"/>
        <n v="4.221310526315789"/>
        <n v="2.2805600649350652"/>
        <n v="0.6979432369319202"/>
        <n v="4.7519349845201235"/>
        <n v="2.2756919917864478"/>
        <n v="1.6044448188711036"/>
        <n v="0.6767133333333334"/>
        <n v="1.470169362992922"/>
        <n v="1.3784521934758156"/>
        <n v="2.2659171597633136"/>
        <n v="3.5469295558958653"/>
        <n v="0.8490479183032207"/>
        <n v="3.449447022428461"/>
        <n v="1.2101309090909091"/>
        <n v="2.565169660678643"/>
        <n v="4.509763313609467"/>
        <n v="2.892352941176471"/>
        <n v="0.9576747195858498"/>
        <n v="1.0710812648758927"/>
        <n v="1.2114851024208566"/>
        <n v="1.0645551348793185"/>
        <n v="1.6232977402532904"/>
        <n v="2.2531269437376307"/>
        <n v="6.409320543565149"/>
        <n v="4.3983834808259585"/>
        <n v="1.3628356454267576"/>
        <n v="5.052344410876133"/>
        <n v="4.479784276126558"/>
        <n v="5.15622668579627"/>
        <n v="1.4951927212572376"/>
        <n v="7.135466135458167"/>
        <n v="1.4117032876259707"/>
        <n v="4.542866368604074"/>
        <n v="1.7493320825515948"/>
        <n v="0.7285312350977587"/>
        <n v="1.803136748986362"/>
        <n v="0.8218608570052962"/>
        <n v="1.2333112363274776"/>
        <n v="3.1042608089260812"/>
        <n v="0.6782965299684542"/>
        <n v="3.1791712013394724"/>
        <n v="1.3138648947951275"/>
        <n v="0.9625237391854821"/>
        <n v="1.402351033644102"/>
        <n v="3.5361343719571567"/>
        <n v="0.8821959625800099"/>
        <n v="3.9577006937561943"/>
        <n v="3.821870170015456"/>
        <n v="2.7791838417147567"/>
        <n v="3.85647983595352"/>
        <n v="0.9719987468671679"/>
        <n v="1.637177085209872"/>
        <n v="1.7147986247544205"/>
        <n v="2.0709302325581396"/>
        <n v="0.8314236509758898"/>
        <n v="0.9480129737111642"/>
        <n v="7.503269230769231"/>
        <n v="0.5857075312394461"/>
        <n v="2.2122545349841634"/>
        <n v="2.2863834071687474"/>
        <n v="3.4541413196069257"/>
        <n v="2.543286167357892"/>
        <n v="1.581311475409836"/>
        <n v="0.5247539580658964"/>
        <n v="3.1718009205983893"/>
        <n v="6.182144578313253"/>
        <n v="1.3434552354666207"/>
        <n v="2.1771065468549424"/>
        <n v="0.6411484593837535"/>
        <n v="2.4848253452477658"/>
        <n v="1.4286277454477192"/>
        <n v="1.175736368746487"/>
        <n v="2.0690499098015636"/>
        <n v="0.75675209898365"/>
        <n v="1.9022028206850234"/>
        <n v="2.7127317415730334"/>
        <n v="5.916649717514124"/>
        <n v="1.2992901292376848"/>
        <n v="3.1016121495327105"/>
        <n v="1.4777390288670116"/>
        <n v="1.1370198105081826"/>
        <n v="2.5926506986027946"/>
        <n v="2.091890838206628"/>
        <n v="2.307288585513841"/>
        <n v="4.674834532374101"/>
        <n v="3.159102749638205"/>
        <n v="2.960203078938749"/>
        <n v="1.3172595078299778"/>
        <n v="1.0250855048859935"/>
        <n v="3.9525217812197484"/>
        <n v="1.1591708841917239"/>
        <n v="0.9060212699405693"/>
        <n v="0.6352679634775704"/>
        <n v="3.0929166666666665"/>
        <n v="0.6552657195474875"/>
        <n v="1.1363017142857141"/>
        <n v="4.930650557620818"/>
        <n v="5.688212074303405"/>
        <n v="2.440256994144437"/>
        <n v="1.281592039800995"/>
        <n v="4.822916387959866"/>
        <n v="0.863756255519576"/>
        <n v="4.704815016322089"/>
        <n v="1.089938192119495"/>
        <n v="2.2238166666666666"/>
        <n v="2.6912253063265816"/>
        <n v="3.0176076076076077"/>
        <n v="2.1119667943805878"/>
        <n v="8.476039250669045"/>
        <n v="0.7360505942645295"/>
        <n v="1.9336218200891686"/>
        <n v="1.6843810888252149"/>
        <n v="0.7650964878425318"/>
        <n v="1.562971333232216"/>
        <n v="4.94996589940324"/>
        <n v="1.0406047453703704"/>
        <n v="2.29580651901379"/>
        <n v="2.9994352708058125"/>
        <n v="1.0391427900422734"/>
        <n v="6.649909027291812"/>
        <n v="5.901827371695179"/>
        <n v="0.8122440692455652"/>
        <n v="3.3528452231956614"/>
        <n v="1.379337899543379"/>
        <n v="1.8628359345260754"/>
        <n v="4.608420755781162"/>
        <n v="0.7175223256697701"/>
        <n v="4.609455017301038"/>
        <n v="5.767539964476021"/>
        <n v="2.0301694411414983"/>
        <n v="2.5454037267080745"/>
        <n v="2.301918388977213"/>
        <n v="0.6910469037400369"/>
        <n v="2.413423573511037"/>
        <n v="1.0406241556336124"/>
        <n v="2.451346726190476"/>
        <n v="4.219901055408971"/>
        <n v="2.979267211997273"/>
        <n v="0.47675961411391565"/>
        <n v="1.977319422150883"/>
        <n v="2.208446389496718"/>
        <n v="1.003264647467726"/>
        <n v="3.9494285714285713"/>
        <n v="1.6029521556256572"/>
        <n v="3.4007787065552133"/>
        <n v="1.855223130106851"/>
        <n v="2.3737806301050175"/>
        <n v="1.5683243243243243"/>
        <n v="1.743195822454308"/>
        <n v="1.4711505339304167"/>
        <n v="2.255558242644095"/>
        <n v="2.410541871921182"/>
        <n v="2.0198844957796536"/>
        <n v="1.032396100564392"/>
        <n v="5.096653498871332"/>
        <n v="5.290202614379085"/>
        <n v="1.121895936065295"/>
        <n v="1.0553564708342045"/>
        <n v="4.312513703993735"/>
        <n v="4.002480053191489"/>
        <n v="0.49971340046475604"/>
        <n v="1.1748225286007625"/>
        <n v="0.5364721451978826"/>
        <n v="2.2746831220813877"/>
        <n v="6.223197278911566"/>
        <n v="2.040547028728847"/>
        <n v="3.0618338323353296"/>
        <n v="5.737965043695381"/>
        <n v="3.35488845144357"/>
        <n v="2.1924012567324955"/>
        <n v="0.5123950843247483"/>
        <n v="1.4170741599073"/>
        <n v="2.098846153846154"/>
        <n v="1.413621231155779"/>
        <n v="2.3357922350472196"/>
        <n v="1.5406574727389353"/>
        <n v="2.5961"/>
        <n v="0.9537426900584794"/>
        <n v="3.4275744859420896"/>
        <n v="3.4033888426311405"/>
        <n v="2.2350870297585628"/>
        <n v="2.0294204322200393"/>
        <n v="1.9790725126475548"/>
        <n v="3.2839713133124158"/>
        <n v="3.3025393700787404"/>
        <n v="4.822617391304348"/>
        <n v="1.168504130386247"/>
        <n v="1.318944562899787"/>
        <n v="1.7786930017069007"/>
        <n v="0.5097100555212831"/>
        <n v="1.5975745738636364"/>
        <n v="2.11246103117506"/>
        <n v="2.73079226686884"/>
        <n v="1.5522727272727272"/>
        <n v="5.176443484521238"/>
        <n v="1.2840673339399455"/>
        <n v="2.8566208476517754"/>
        <n v="1.1801416015625"/>
        <n v="3.7169618528610355"/>
        <n v="2.5926901987662783"/>
        <n v="1.0028518839324383"/>
        <n v="3.3515938303341906"/>
        <n v="3.7289977116704804"/>
        <n v="1.4737388316151203"/>
        <n v="2.233062244434348"/>
        <n v="1.6731268494772145"/>
        <n v="1.6332975650020636"/>
        <n v="1.017169086963779"/>
        <n v="7.979504950495049"/>
        <n v="2.9985878962536026"/>
        <n v="1.8119327427228349"/>
        <n v="5.5173781512605045"/>
        <n v="3.449975201487911"/>
        <n v="0.7124927367809414"/>
        <n v="1.8628689956331879"/>
        <n v="2.578453747467927"/>
        <n v="1.1960096707345154"/>
        <n v="2.219630450849963"/>
        <n v="1.1532563609151165"/>
        <n v="0.43296327446033084"/>
        <n v="3.3561397058823528"/>
        <n v="3.275741507870754"/>
        <n v="1.7867477203647415"/>
        <n v="4.085111111111111"/>
        <n v="2.93928093645485"/>
        <n v="5.433927550047664"/>
        <n v="3.0367625899280575"/>
        <n v="1.258441209406495"/>
        <n v="4.150137614678899"/>
        <n v="1.0107192480588476"/>
        <n v="1.3296488764044945"/>
        <n v="1.151094470046083"/>
        <n v="1.0739907759088443"/>
        <n v="1.2414945264159924"/>
        <n v="1.6901198083067095"/>
        <n v="0.6728905109489052"/>
        <n v="3.812037186742118"/>
        <n v="1.375488768718802"/>
        <n v="1.4516471962616821"/>
        <n v="1.0649763313609466"/>
        <n v="1.5056919899013084"/>
        <n v="1.044459333952501"/>
        <n v="1.2149934065934067"/>
        <n v="1.646965366916929"/>
        <n v="4.73746255506608"/>
        <n v="2.701645520953479"/>
        <n v="1.1341688741721854"/>
        <n v="1.6540240137221267"/>
        <n v="0.9338638888888888"/>
        <n v="3.679444933920705"/>
        <n v="0.6732836174242424"/>
        <n v="2.6803508771929825"/>
        <n v="3.674920071047957"/>
        <n v="1.6510077035186341"/>
        <n v="0.4247382241916954"/>
        <n v="2.940648880105402"/>
        <n v="1.4690434391177132"/>
        <n v="3.0573971830985918"/>
        <n v="1.666113074204947"/>
        <n v="0.5578932316491897"/>
        <n v="3.330636482939633"/>
        <n v="6.607511563367253"/>
        <n v="0.7755160578573179"/>
        <n v="1.1375279261777562"/>
        <n v="2.03002574002574"/>
        <n v="2.0078999049730757"/>
        <n v="2.7287578125"/>
        <n v="3.418558077436582"/>
        <n v="1.473302649930265"/>
        <n v="1.4451800600200067"/>
        <n v="2.3614983594604446"/>
        <n v="1.631053931659119"/>
        <n v="2.139562908496732"/>
        <n v="4.8158631415241056"/>
        <n v="2.365081714461918"/>
        <n v="3.539551181102362"/>
        <n v="2.639791052114061"/>
        <n v="2.555227001194743"/>
        <n v="1.2337606978275182"/>
        <n v="1.9479321845469706"/>
        <n v="2.3132824760244115"/>
        <n v="6.228017015706806"/>
        <n v="6.437917042380523"/>
        <n v="1.160382299819386"/>
        <n v="0.8982003288225623"/>
        <n v="2.832445054945055"/>
        <n v="3.6262903225806453"/>
        <n v="4.175847926267281"/>
        <n v="0.6912512841586194"/>
        <n v="1.0345351312987934"/>
        <n v="2.207877512856475"/>
        <n v="1.2090914796798995"/>
        <n v="7.3106517690875235"/>
        <n v="7.683181367690783"/>
        <n v="2.0173546923731216"/>
        <n v="1.3266821409066085"/>
        <n v="0.9454643574297189"/>
        <n v="4.572051664182812"/>
        <n v="1.9752750809061488"/>
        <n v="3.639570393374741"/>
        <n v="4.816629431762992"/>
        <n v="2.916556914393227"/>
        <n v="1.0759987099548485"/>
        <n v="1.503818735057596"/>
        <n v="2.6242703862660943"/>
        <n v="5.322656467315716"/>
        <n v="2.6355563985837125"/>
        <n v="1.6006239396795474"/>
        <n v="3.222156862745098"/>
        <n v="3.749468982630273"/>
        <n v="3.116138613861386"/>
        <n v="0.6129247822644497"/>
        <n v="0.71228547008547"/>
        <n v="1.326493031113614"/>
        <n v="1.979626004893394"/>
        <n v="2.463296648324162"/>
        <n v="1.092858020897357"/>
        <n v="1.271896722939424"/>
        <n v="0.8947779569104499"/>
        <n v="2.373194735267724"/>
        <n v="1.2796448715270523"/>
        <n v="2.084956161714564"/>
        <n v="1.77"/>
        <n v="1.3553964719986298"/>
        <n v="5.115817518248175"/>
        <n v="2.703705471905986"/>
        <n v="0.5473473520249221"/>
        <n v="1.0945609137055836"/>
        <n v="1.6471379310344827"/>
        <n v="2.7409411362080767"/>
        <n v="0.5570834792761238"/>
        <n v="0.9528387708135915"/>
        <n v="4.204994311717861"/>
        <n v="2.879608617594255"/>
        <n v="2.7727550432276655"/>
        <n v="3.6359563994374122"/>
        <n v="0.7448235294117648"/>
        <n v="2.5317887931034484"/>
        <n v="1.7626002109704642"/>
        <n v="2.938042049934297"/>
        <n v="3.097619639527657"/>
        <n v="1.2453050034270048"/>
        <n v="3.103173592493298"/>
        <n v="1.0372843373493974"/>
        <n v="1.779140958709065"/>
        <n v="0.8684142857142857"/>
        <n v="1.374701166180758"/>
        <n v="1.1441818888457054"/>
        <n v="3.7080591878871303"/>
        <n v="2.4649754901960783"/>
        <n v="0.6106481128478841"/>
        <n v="1.7359499083689676"/>
        <n v="1.0456697247706421"/>
        <n v="3.8174838152783774"/>
        <n v="1.9737420382165605"/>
        <n v="7.689413223140496"/>
        <n v="3.4572644574398956"/>
        <n v="2.043991537376587"/>
        <n v="0.8626777832270721"/>
        <n v="4.86081417624521"/>
        <n v="0.7769302907158487"/>
        <n v="2.673972400197141"/>
        <n v="0.9207660268018835"/>
        <n v="1.0859756483238456"/>
        <n v="1.4438546743464777"/>
        <n v="1.873770977295163"/>
        <n v="2.9037741568776054"/>
        <n v="1.9815737833594977"/>
        <n v="0.8517139001349527"/>
        <n v="3.7531631863882446"/>
        <n v="1.5447210626185959"/>
        <n v="0.8667641179410295"/>
        <n v="0.8164973974863527"/>
        <n v="0.8930427586206897"/>
        <n v="1.9444025289778715"/>
        <n v="0.7874225213854998"/>
        <n v="4.1164976958525346"/>
        <n v="1.783203261502621"/>
        <n v="3.2129462571976966"/>
        <n v="2.0940783289817233"/>
        <n v="2.4875100401606427"/>
        <n v="1.1296151885830783"/>
        <n v="0.8939059158945117"/>
        <n v="0.8930977204453083"/>
        <n v="0.7006063221490991"/>
        <n v="1.2091005967604433"/>
        <n v="2.8990666082383876"/>
        <n v="0.9548951663527935"/>
        <n v="1.3709249329758713"/>
        <n v="1.75160087284269"/>
        <n v="1.3454234900510653"/>
        <n v="6.724765990639625"/>
        <n v="2.6587699237699236"/>
        <n v="2.251391035548686"/>
        <n v="0.9123572575097455"/>
        <n v="0.4214074747245257"/>
        <n v="1.362493954050786"/>
        <n v="1.1591433848995614"/>
        <n v="5.65533962264151"/>
        <n v="0.8823416105825018"/>
        <n v="3.014220125786163"/>
        <n v="3.6011269760326368"/>
        <n v="1.9709124221326493"/>
        <n v="2.1926286966046002"/>
        <n v="1.6889469337187692"/>
        <n v="1.99840571891017"/>
        <n v="0.735618343838296"/>
        <n v="1.6797435897435897"/>
        <n v="3.5852573373032754"/>
        <n v="0.7781837292411183"/>
        <n v="1.0327485750474985"/>
        <n v="0.9097974767596282"/>
        <n v="3.6580668666952425"/>
        <n v="1.1002652414885195"/>
        <n v="1.0359194488606254"/>
        <n v="2.9571194029850747"/>
        <n v="2.2053577722946778"/>
        <n v="0.8659337997847147"/>
        <n v="0.8241687794277436"/>
        <n v="7.258075201432408"/>
        <n v="2.5078737412858247"/>
        <n v="3.675750556792873"/>
        <n v="2.059958170663692"/>
        <n v="3.587067913786092"/>
        <n v="3.574005967922417"/>
        <n v="0.7918338613164378"/>
        <n v="1.3457329338754547"/>
        <n v="1.7748637453673426"/>
        <n v="1.032855716425362"/>
        <n v="2.4322480355312606"/>
        <n v="1.4525693673695894"/>
        <n v="5.845824031516743"/>
        <n v="0.8783733851923878"/>
        <n v="2.3277493606138107"/>
        <n v="3.2426252377932783"/>
        <n v="1.9503356439255746"/>
        <n v="1.6716603773584906"/>
        <n v="2.280684758598927"/>
        <n v="1.0776132930513596"/>
      </sharedItems>
    </cacheField>
    <cacheField name="CPA" numFmtId="0">
      <sharedItems containsSemiMixedTypes="0" containsString="0" containsNumber="1">
        <n v="5.810323809523809"/>
        <n v="84.57013888888889"/>
        <n v="3.5960956175298806"/>
        <n v="19.49647416413374"/>
        <n v="18.023593380614656"/>
        <n v="4.534513064133017"/>
        <n v="22.649025423728816"/>
        <n v="12.472367491166077"/>
        <n v="20.357619047619046"/>
        <n v="94.89161764705882"/>
        <n v="7.706966292134831"/>
        <n v="68.67326797385621"/>
        <n v="31.762835820895525"/>
        <n v="87.71534482758621"/>
        <n v="50.38594202898551"/>
        <n v="44.89703947368421"/>
        <n v="4.275380673499268"/>
        <n v="26.65377192982456"/>
        <n v="12.476483870967742"/>
        <n v="27.78765625"/>
        <n v="18.072724014336917"/>
        <n v="15.990559210526316"/>
        <n v="45.588571428571434"/>
        <n v="38.428721804511284"/>
        <n v="43.48342465753424"/>
        <n v="5.704662116040955"/>
        <n v="9.290727272727272"/>
        <n v="29.826126126126123"/>
        <n v="9.05756335282651"/>
        <n v="24.557623456790125"/>
        <n v="17.14"/>
        <n v="18.369537275064268"/>
        <n v="13.585538461538462"/>
        <n v="2.057955314827353"/>
        <n v="6.294587039390089"/>
        <n v="56.88610389610389"/>
        <n v="17.294703196347033"/>
        <n v="63.63328571428571"/>
        <n v="12.95656814449918"/>
        <n v="19.648717948717948"/>
        <n v="44.89116504854369"/>
        <n v="2.425266666666667"/>
        <n v="61.97402684563758"/>
        <n v="27.77881278538813"/>
        <n v="35.671030927835055"/>
        <n v="10.861684665226782"/>
        <n v="20.729486301369864"/>
        <n v="17.31961685823755"/>
        <n v="8.036448412698412"/>
        <n v="106.3134"/>
        <n v="25.25950464396285"/>
        <n v="26.670909090909092"/>
        <n v="35.85714932126697"/>
        <n v="53.03201438848921"/>
        <n v="46.99190789473685"/>
        <n v="25.49546623794212"/>
        <n v="7.986940298507463"/>
        <n v="7.580637755102041"/>
        <n v="16.639324675324676"/>
        <n v="19.523860759493672"/>
        <n v="8.383152985074627"/>
        <n v="42.43645502645502"/>
        <n v="14.071702838063441"/>
        <n v="4.251039387308534"/>
        <n v="39.866883116883116"/>
        <n v="21.6457421875"/>
        <n v="14.276431784107945"/>
        <n v="4.104056603773585"/>
        <n v="32.13254143646409"/>
        <n v="76.59025"/>
        <n v="21.34030959752322"/>
        <n v="33.32582733812949"/>
        <n v="8.301367127496158"/>
        <n v="28.40850318471338"/>
        <n v="6.777718940936864"/>
        <n v="16.064375000000002"/>
        <n v="28.580624999999998"/>
        <n v="38.442"/>
        <n v="5.5706148055207025"/>
        <n v="11.49653284671533"/>
        <n v="63.08533333333333"/>
        <n v="5.387796407185629"/>
        <n v="14.430507726269317"/>
        <n v="11.84147102526003"/>
        <n v="54.9182191780822"/>
        <n v="61.108688524590164"/>
        <n v="13.800333333333334"/>
        <n v="112.99499999999999"/>
        <n v="37.52943775100402"/>
        <n v="36.48619289340101"/>
        <n v="12.083475935828877"/>
        <n v="99.50011111111111"/>
        <n v="21.203573200992558"/>
        <n v="114.309875"/>
        <n v="58.274625"/>
        <n v="8.348251366120218"/>
        <n v="64.36723684210526"/>
        <n v="4.79495786516854"/>
        <n v="8.755058823529412"/>
        <n v="28.90590909090909"/>
        <n v="11.643682310469314"/>
        <n v="28.339701492537312"/>
        <n v="9.140369799691834"/>
        <n v="7.824013722126929"/>
        <n v="12.0125"/>
        <n v="18.06771144278607"/>
        <n v="6.445107913669065"/>
        <n v="20.744519480519482"/>
        <n v="29.091176470588234"/>
        <n v="14.194315789473684"/>
        <n v="34.61368098159509"/>
        <n v="9.152271386430678"/>
        <n v="23.124605597964376"/>
        <n v="9.139607329842931"/>
        <n v="16.888793103448275"/>
        <n v="7.504352331606217"/>
        <n v="31.024916201117318"/>
        <n v="42.73290476190476"/>
        <n v="4.919943262411348"/>
        <n v="15.521535353535354"/>
        <n v="12.261533477321814"/>
        <n v="18.003658536585366"/>
        <n v="69.03927152317881"/>
        <n v="10.522909090909092"/>
        <n v="7.1576848249027245"/>
        <n v="68.05666666666667"/>
        <n v="30.910722891566266"/>
        <n v="16.225020833333335"/>
        <n v="36.70922077922078"/>
        <n v="16.856240310077517"/>
        <n v="33.86147601476014"/>
        <n v="35.89764150943396"/>
        <n v="70.30705882352942"/>
        <n v="32.76980952380952"/>
        <n v="18.170079575596816"/>
        <n v="134.87523809523807"/>
        <n v="14.413917910447761"/>
        <n v="38.64380073800738"/>
        <n v="12.775156537753222"/>
        <n v="57.71695652173913"/>
        <n v="8.147276908923644"/>
        <n v="6.062365097588978"/>
        <n v="14.336843267108168"/>
        <n v="13.194344262295083"/>
        <n v="54.81369369369369"/>
        <n v="40.612625"/>
        <n v="36.58558659217877"/>
        <n v="56.839622641509436"/>
        <n v="8.36682060390764"/>
        <n v="10.914494219653179"/>
        <n v="52.01216560509554"/>
        <n v="59.4451145038168"/>
        <n v="5.363981481481482"/>
        <n v="57.151428571428575"/>
        <n v="17.42791304347826"/>
        <n v="3.3431744966442953"/>
        <n v="42.48991452991453"/>
        <n v="128.35596774193547"/>
        <n v="29.39668"/>
        <n v="12.217182410423453"/>
        <n v="13.582545454545453"/>
        <n v="69.32942307692308"/>
        <n v="8.918480243161094"/>
        <n v="31.675641025641028"/>
        <n v="6.837205169628432"/>
        <n v="28.2389417989418"/>
        <n v="129.66518072289156"/>
        <n v="29.554803921568627"/>
        <n v="77.81976470588236"/>
        <n v="111.78399999999999"/>
        <n v="5.931739894551845"/>
        <n v="11.665981012658227"/>
        <n v="44.53401515151515"/>
        <n v="11.13688202247191"/>
        <n v="11.85807825086306"/>
        <n v="27.781387559808614"/>
        <n v="12.232414965986393"/>
        <n v="13.399670731707317"/>
        <n v="25.512050561797754"/>
        <n v="44.246700000000004"/>
        <n v="60.526878980891716"/>
        <n v="32.57403433476395"/>
        <n v="20.432741935483868"/>
        <n v="160.7354"/>
        <n v="41.796540880503144"/>
        <n v="30.5854375"/>
        <n v="46.16231638418079"/>
        <n v="14.090746268656718"/>
        <n v="62.68858823529411"/>
        <n v="36.079166666666666"/>
        <n v="110.15306451612904"/>
        <n v="15.449186507936508"/>
        <n v="25.401871345029242"/>
        <n v="7.033369734789392"/>
        <n v="35.1189696969697"/>
        <n v="9.14809976247031"/>
        <n v="14.139957081545065"/>
        <n v="23.782044609665427"/>
        <n v="24.485070028011204"/>
        <n v="3.250126126126126"/>
        <n v="10.589140401146132"/>
        <n v="12.111120000000001"/>
        <n v="16.1646"/>
        <n v="56.77303571428571"/>
        <n v="8.552075736325385"/>
        <n v="17.810990783410137"/>
        <n v="47.864756756756755"/>
        <n v="20.972474226804124"/>
        <n v="62.36654205607477"/>
        <n v="19.636588235294116"/>
        <n v="18.81387665198238"/>
        <n v="14.09581863979849"/>
        <n v="40.778333333333336"/>
        <n v="17.971383399209486"/>
        <n v="14.220070671378092"/>
        <n v="49.08298913043478"/>
        <n v="28.300734265734267"/>
        <n v="6.830093167701863"/>
        <n v="5.890046674445742"/>
        <n v="26.476346153846155"/>
        <n v="65.43184782608695"/>
        <n v="7.5601171875"/>
        <n v="14.724154411764705"/>
        <n v="5.20338630806846"/>
        <n v="36.273936170212764"/>
        <n v="32.67178571428572"/>
        <n v="69.59771812080537"/>
        <n v="26.736013071895425"/>
        <n v="55.37481927710843"/>
        <n v="85.21416666666667"/>
        <n v="12.12076923076923"/>
        <n v="16.67791489361702"/>
        <n v="21.838124999999998"/>
        <n v="19.58923076923077"/>
        <n v="14.472572347266881"/>
        <n v="20.852552693208434"/>
        <n v="14.00516034985423"/>
        <n v="35.155520833333334"/>
        <n v="6.634169491525424"/>
        <n v="24.02326470588235"/>
        <n v="34.06225"/>
        <n v="14.37072202166065"/>
        <n v="54.36710526315789"/>
        <n v="27.72259842519685"/>
        <n v="20.81403409090909"/>
        <n v="16.980668016194333"/>
        <n v="47.00008474576271"/>
        <n v="5.900484780157835"/>
        <n v="9.408136882129279"/>
        <n v="58.825967741935486"/>
        <n v="4.753970080552359"/>
        <n v="19.559869565217394"/>
        <n v="17.886218274111677"/>
        <n v="120.06383333333333"/>
        <n v="12.12325"/>
        <n v="34.07620853080569"/>
        <n v="8.337902511078287"/>
        <n v="71.93740384615384"/>
        <n v="17.020633802816903"/>
        <n v="22.485576923076923"/>
        <n v="39.19932642487047"/>
        <n v="32.16090277777778"/>
        <n v="27.622245762711866"/>
        <n v="21.669840425531913"/>
        <n v="9.958003095975233"/>
        <n v="25.20497435897436"/>
        <n v="21.36292191435768"/>
        <n v="11.179322033898305"/>
        <n v="7.570012422360248"/>
        <n v="85.24259615384615"/>
        <n v="102.0107843137255"/>
        <n v="10.582682154171065"/>
        <n v="60.79333333333334"/>
        <n v="21.56903100775194"/>
        <n v="8.427491408934708"/>
        <n v="29.93663157894737"/>
        <n v="25.289337748344373"/>
        <n v="9.308727598566309"/>
        <n v="18.200969696969697"/>
        <n v="7.7054"/>
        <n v="2.531770491803279"/>
        <n v="38.391728971962614"/>
        <n v="29.727969924812033"/>
        <n v="108.85925925925925"/>
        <n v="41.92614035087719"/>
        <n v="15.693660714285715"/>
        <n v="78.08479452054794"/>
        <n v="42.211"/>
        <n v="11.237879999999999"/>
        <n v="36.48104838709677"/>
        <n v="25.897696335078535"/>
        <n v="40.114830508474576"/>
        <n v="20.184848484848484"/>
        <n v="18.24299539170507"/>
        <n v="11.541504424778761"/>
        <n v="14.443890784982937"/>
        <n v="32.265100000000004"/>
        <n v="32.297876712328765"/>
        <n v="17.87391891891892"/>
        <n v="9.342932330827068"/>
        <n v="7.0305078125"/>
        <n v="47.885401459854016"/>
        <n v="6.780439276485788"/>
        <n v="48.49315789473685"/>
        <n v="15.011743929359822"/>
        <n v="36.087382550335576"/>
        <n v="21.68820987654321"/>
        <n v="6.716058823529412"/>
        <n v="14.307062314540058"/>
        <n v="14.125672268907563"/>
        <n v="45.89197802197802"/>
        <n v="8.502092675635277"/>
        <n v="30.555999999999997"/>
        <n v="20.152402597402595"/>
        <n v="33.74378723404255"/>
        <n v="10.965805084745762"/>
        <n v="45.55005102040816"/>
        <n v="18.4899716713881"/>
        <n v="64.60571428571428"/>
        <n v="10.176474820143884"/>
        <n v="11.290610932475884"/>
        <n v="76.90742424242424"/>
        <n v="39.245714285714286"/>
        <n v="39.053456790123455"/>
        <n v="18.44228346456693"/>
        <n v="24.142806122448977"/>
        <n v="13.81032679738562"/>
        <n v="17.079755501222493"/>
        <n v="27.932727272727274"/>
        <n v="11.049769874476988"/>
        <n v="13.780906200317967"/>
        <n v="83.04602564102564"/>
        <n v="22.834755043227666"/>
        <n v="35.15201342281879"/>
        <n v="33.781090909090906"/>
        <n v="37.41443902439024"/>
        <n v="40.86572727272727"/>
        <n v="26.846675"/>
        <n v="31.108727272727272"/>
        <n v="15.682698744769874"/>
        <n v="18.993658536585365"/>
        <n v="16.154246575342466"/>
        <n v="64.30006756756757"/>
        <n v="39.22884615384615"/>
        <n v="13.86615107913669"/>
        <n v="9.058762755102041"/>
        <n v="15.542864321608041"/>
        <n v="36.40104761904762"/>
        <n v="26.265478260869564"/>
        <n v="20.767407407407408"/>
        <n v="23.574016172506735"/>
        <n v="63.39127516778523"/>
        <n v="14.456923076923077"/>
        <n v="58.594328358208955"/>
        <n v="60.09558139534884"/>
        <n v="16.70237089201878"/>
        <n v="20.851115879828328"/>
        <n v="4.930274869109947"/>
        <n v="39.331367521367525"/>
        <n v="48.30187050359712"/>
        <n v="109.86953125"/>
        <n v="148.02149253731343"/>
        <n v="15.618639798488665"/>
        <n v="21.664372294372296"/>
        <n v="28.35684426229508"/>
        <n v="15.222946058091287"/>
        <n v="72.89504761904762"/>
        <n v="17.055630114566284"/>
        <n v="8.079267364414843"/>
        <n v="22.712276422764226"/>
        <n v="32.28709401709402"/>
        <n v="31.029718309859156"/>
        <n v="3.13918896999189"/>
        <n v="6.582733017377567"/>
        <n v="90.59692307692308"/>
        <n v="21.617213740458016"/>
        <n v="62.33075949367089"/>
        <n v="6.1738888888888885"/>
        <n v="15.734643734643734"/>
        <n v="11.606596958174904"/>
        <n v="17.708906250000002"/>
        <n v="9.960422764227642"/>
        <n v="18.292371794871794"/>
        <n v="19.541553191489363"/>
        <n v="8.018399189463018"/>
        <n v="36.12716494845361"/>
        <n v="15.798690987124463"/>
        <n v="13.889209486166006"/>
        <n v="5.93200825309491"/>
        <n v="18.632517730496453"/>
        <n v="23.625457227138643"/>
        <n v="7.822"/>
        <n v="7.609318918918919"/>
        <n v="27.379185185185186"/>
        <n v="96.62301204819278"/>
        <n v="14.779508448540705"/>
        <n v="33.79300653594771"/>
        <n v="10.81947546531303"/>
        <n v="12.677158273381295"/>
        <n v="18.880734463276838"/>
        <n v="24.84277777777778"/>
        <n v="15.526697819314641"/>
        <n v="8.440882694541232"/>
        <n v="25.09449864498645"/>
        <n v="18.55487068965517"/>
        <n v="10.649573863636364"/>
        <n v="5.986383169203223"/>
        <n v="8.438881431767337"/>
        <n v="11.499921875"/>
        <n v="50.8283962264151"/>
        <n v="28.632313167259788"/>
        <n v="9.258554913294798"/>
        <n v="13.684189406099518"/>
        <n v="6.21133514986376"/>
        <n v="56.69942307692308"/>
        <n v="29.79591346153846"/>
        <n v="178.92673076923077"/>
        <n v="30.060621468926552"/>
        <n v="89.45617283950617"/>
        <n v="11.446854663774403"/>
        <n v="55.76582417582417"/>
        <n v="4.73860819828408"/>
        <n v="16.95465625"/>
        <n v="5.649411111111111"/>
        <n v="6.02430701754386"/>
        <n v="8.18788944723618"/>
        <n v="21.208156424581006"/>
        <n v="19.35116161616162"/>
        <n v="13.909228650137742"/>
        <n v="15.778"/>
        <n v="80.88066666666667"/>
        <n v="15.868771929824561"/>
        <n v="9.582292817679559"/>
        <n v="7.979590570719603"/>
        <n v="9.068011204481794"/>
        <n v="16.623765765765768"/>
        <n v="45.28314516129032"/>
        <n v="154.01379310344825"/>
        <n v="9.643338582677167"/>
        <n v="18.496629834254144"/>
        <n v="13.234851485148514"/>
        <n v="17.888519855595668"/>
        <n v="6.4521251819505085"/>
        <n v="10.065409309791333"/>
        <n v="55.5389010989011"/>
        <n v="5.974167433302668"/>
        <n v="12.60688888888889"/>
        <n v="16.919872122762147"/>
        <n v="75.30435643564356"/>
        <n v="13.310759219088938"/>
        <n v="84.90211538461539"/>
        <n v="7.22179584120983"/>
        <n v="57.474333333333334"/>
        <n v="19.087587064676615"/>
        <n v="11.362324492979718"/>
        <n v="40.59989795918367"/>
        <n v="3.0135255889520716"/>
        <n v="13.657969696969698"/>
        <n v="41.14959016393443"/>
        <n v="29.676534653465346"/>
        <n v="46.3659756097561"/>
        <n v="17.555347985347986"/>
        <n v="69.23343137254902"/>
        <n v="36.58925170068027"/>
        <n v="17.33220779220779"/>
        <n v="14.127063903281519"/>
        <n v="49.06019867549669"/>
        <n v="5.014192592592592"/>
        <n v="18.42992327365729"/>
        <n v="53.01220125786164"/>
        <n v="5.8852464228934815"/>
        <n v="5.260354838709677"/>
        <n v="5.769073684210526"/>
        <n v="31.375992647058826"/>
        <n v="7.089974489795918"/>
        <n v="7.620974658869396"/>
        <n v="105.66773333333333"/>
        <n v="16.166925064599486"/>
        <n v="21.03143790849673"/>
        <n v="18.450243243243243"/>
        <n v="68.7056779661017"/>
        <n v="44.04986394557823"/>
        <n v="44.605729729729724"/>
        <n v="11.876221864951768"/>
        <n v="21.203365384615385"/>
        <n v="21.388191964285713"/>
        <n v="6.436623748211731"/>
        <n v="12.428083003952569"/>
        <n v="32.5652"/>
        <n v="18.694066265060243"/>
        <n v="23.730633333333333"/>
        <n v="12.14631090487239"/>
        <n v="65.94955555555556"/>
        <n v="12.571391650099404"/>
        <n v="32.12294117647058"/>
        <n v="16.765967213114752"/>
        <n v="15.495275362318841"/>
        <n v="32.485933333333335"/>
        <n v="11.65724193548387"/>
        <n v="19.41170068027211"/>
      </sharedItems>
    </cacheField>
    <cacheField name="ROAS" numFmtId="0">
      <sharedItems containsSemiMixedTypes="0" containsString="0" containsNumber="1">
        <n v="7.221597353807017"/>
        <n v="0.2918271323112801"/>
        <n v="10.57631672243026"/>
        <n v="2.518265324257835"/>
        <n v="1.4123017111797251"/>
        <n v="7.88236696123162"/>
        <n v="1.6934765405029213"/>
        <n v="2.4847606581899777"/>
        <n v="1.2766828066400007"/>
        <n v="0.22545225745161274"/>
        <n v="2.848273527201099"/>
        <n v="0.6443831308811926"/>
        <n v="1.2759255865533266"/>
        <n v="0.397368840037032"/>
        <n v="0.5510134814461131"/>
        <n v="0.7929707591199162"/>
        <n v="11.481443177167789"/>
        <n v="1.7575307796862298"/>
        <n v="1.8157979786488645"/>
        <n v="1.0709763215456503"/>
        <n v="2.4823106168030797"/>
        <n v="2.26889426943941"/>
        <n v="0.4877644291031104"/>
        <n v="0.6755745428505464"/>
        <n v="0.9476197826915626"/>
        <n v="3.895294310503474"/>
        <n v="4.939668312708881"/>
        <n v="0.7344821336877398"/>
        <n v="4.624663996573787"/>
        <n v="1.3912767527118757"/>
        <n v="2.498457892761863"/>
        <n v="1.8951950460063673"/>
        <n v="1.5282847630479728"/>
        <n v="18.995706671930517"/>
        <n v="7.502793792290425"/>
        <n v="0.7500336740308159"/>
        <n v="1.6590372642929183"/>
        <n v="0.6952897517696265"/>
        <n v="3.4044635671784604"/>
        <n v="1.841354560876941"/>
        <n v="0.6580381029415263"/>
        <n v="13.529743960954274"/>
        <n v="0.32608161245293277"/>
        <n v="0.9598409483920598"/>
        <n v="1.3536844417341745"/>
        <n v="3.7830744328847317"/>
        <n v="2.3576765939590385"/>
        <n v="1.6759239185739379"/>
        <n v="4.764159817498155"/>
        <n v="0.2667528270189835"/>
        <n v="0.9638685496186948"/>
        <n v="1.022149885245529"/>
        <n v="0.7565894329308227"/>
        <n v="0.7348242204722274"/>
        <n v="0.48324669560968636"/>
        <n v="1.0039260495214457"/>
        <n v="5.049110021023125"/>
        <n v="3.5346462018905576"/>
        <n v="2.4477032971492974"/>
        <n v="1.235699906313923"/>
        <n v="5.694850412941734"/>
        <n v="0.937861651844214"/>
        <n v="2.550474258359582"/>
        <n v="11.036471965924154"/>
        <n v="0.7567912696473654"/>
        <n v="2.1673232502783635"/>
        <n v="2.7500530329602473"/>
        <n v="11.441516348626203"/>
        <n v="0.7171590735197275"/>
        <n v="0.32411762593802734"/>
        <n v="1.8537136656163136"/>
        <n v="0.8137076910124366"/>
        <n v="4.7569256447312185"/>
        <n v="1.304161196914443"/>
        <n v="4.124701760290397"/>
        <n v="1.9790958253900321"/>
        <n v="1.5340582562487701"/>
        <n v="0.9046229423941301"/>
        <n v="5.102340656519017"/>
        <n v="2.201822193298519"/>
        <n v="0.7520914432399405"/>
        <n v="8.881099668579022"/>
        <n v="3.3892507595203925"/>
        <n v="2.6646121182385927"/>
        <n v="0.45676634996495413"/>
        <n v="0.6689867288330655"/>
        <n v="2.7861801129717363"/>
        <n v="0.3146144950207077"/>
        <n v="1.0900904564341993"/>
        <n v="0.7895525461268987"/>
        <n v="3.8078584357477614"/>
        <n v="0.3522151287379914"/>
        <n v="1.9364192560830606"/>
        <n v="0.26366816515196084"/>
        <n v="0.6409028801129136"/>
        <n v="4.345741721377468"/>
        <n v="0.32493238837182203"/>
        <n v="6.4246062548147185"/>
        <n v="4.922846623128812"/>
        <n v="0.7804789835359237"/>
        <n v="3.1106191672092516"/>
        <n v="1.7387466030461987"/>
        <n v="4.798010822474334"/>
        <n v="2.8570614285087914"/>
        <n v="3.752708405596023"/>
        <n v="1.3946885816483598"/>
        <n v="5.6596102113029785"/>
        <n v="1.368941131689922"/>
        <n v="1.2591659084015772"/>
        <n v="1.9326001512836866"/>
        <n v="0.5902804487037467"/>
        <n v="2.318753182793897"/>
        <n v="1.4800345951846232"/>
        <n v="3.742410485402411"/>
        <n v="1.8920907559593692"/>
        <n v="2.846230857395363"/>
        <n v="1.1311578727496012"/>
        <n v="0.5824094513985543"/>
        <n v="4.226742509859999"/>
        <n v="2.4008077405650803"/>
        <n v="2.7523132449899506"/>
        <n v="1.7542586195217773"/>
        <n v="0.37476798405360995"/>
        <n v="1.9525641025641025"/>
        <n v="3.0925728109158612"/>
        <n v="0.30413108901623376"/>
        <n v="0.7617078332859107"/>
        <n v="2.855106760263533"/>
        <n v="0.7753103540990798"/>
        <n v="2.6224732174268954"/>
        <n v="0.9202361259134787"/>
        <n v="1.3349828521871674"/>
        <n v="0.6048629421481281"/>
        <n v="1.4365836149998692"/>
        <n v="1.6291335042305828"/>
        <n v="0.15069541045575335"/>
        <n v="2.0521417680361798"/>
        <n v="0.962719396665734"/>
        <n v="2.2540871944424823"/>
        <n v="0.7375855938651139"/>
        <n v="2.7906480173530306"/>
        <n v="6.018421232046543"/>
        <n v="2.1293014647575905"/>
        <n v="3.247249504569146"/>
        <n v="0.4109054093144345"/>
        <n v="1.0995549413513654"/>
        <n v="0.6162300994683012"/>
        <n v="0.5474921161825727"/>
        <n v="5.925791632346322"/>
        <n v="2.0619383727688825"/>
        <n v="0.6292121759852852"/>
        <n v="0.5850569708923877"/>
        <n v="4.043468954445806"/>
        <n v="0.6907307653851923"/>
        <n v="2.8038454054215873"/>
        <n v="13.776718266005265"/>
        <n v="0.4792811567149168"/>
        <n v="0.36409958696015493"/>
        <n v="0.7556594826354541"/>
        <n v="2.921535456951082"/>
        <n v="2.4764309809381024"/>
        <n v="0.6784235242557133"/>
        <n v="5.439529953854229"/>
        <n v="1.2187280643426672"/>
        <n v="4.959768254560835"/>
        <n v="0.7908250830029454"/>
        <n v="0.31577343315174117"/>
        <n v="1.5027632281670145"/>
        <n v="0.6081715215248508"/>
        <n v="0.37368075405929924"/>
        <n v="8.089001706585762"/>
        <n v="1.7821915392857628"/>
        <n v="1.114165372400055"/>
        <n v="2.8218592438829377"/>
        <n v="3.8075193092064086"/>
        <n v="1.0151473138705993"/>
        <n v="3.628640864436801"/>
        <n v="2.7361083681524754"/>
        <n v="1.7830558152184084"/>
        <n v="0.5395837429684022"/>
        <n v="0.4437582081761854"/>
        <n v="0.9438466352646662"/>
        <n v="1.7427542237974578"/>
        <n v="0.2834808013667182"/>
        <n v="1.107738144500538"/>
        <n v="0.6821383542412953"/>
        <n v="0.8908212607686217"/>
        <n v="1.4503378950936359"/>
        <n v="0.5067476395929084"/>
        <n v="0.8439126919967663"/>
        <n v="0.28956334953268836"/>
        <n v="3.138392759674252"/>
        <n v="1.368541250356837"/>
        <n v="7.023800070535157"/>
        <n v="1.1105678878547898"/>
        <n v="2.608890389084347"/>
        <n v="1.7089731409787499"/>
        <n v="1.2770138353729736"/>
        <n v="1.6347399718801947"/>
        <n v="6.530840105997272"/>
        <n v="2.390214335387121"/>
        <n v="2.7927524456862782"/>
        <n v="2.171567499350432"/>
        <n v="0.774704415136713"/>
        <n v="5.403058237380752"/>
        <n v="1.5892623127903471"/>
        <n v="0.5334952761045197"/>
        <n v="1.6467141515879922"/>
        <n v="0.5431770569530151"/>
        <n v="1.4041704860674253"/>
        <n v="1.8789498331674763"/>
        <n v="2.3710838378567702"/>
        <n v="0.688534556749908"/>
        <n v="1.6505335667596266"/>
        <n v="1.659124116612164"/>
        <n v="0.8225465521460437"/>
        <n v="0.7988351879970497"/>
        <n v="6.202431996992969"/>
        <n v="4.840925794955"/>
        <n v="1.4021332539204079"/>
        <n v="0.5834049035421855"/>
        <n v="3.252037057130604"/>
        <n v="1.7384374914169147"/>
        <n v="9.013929710058102"/>
        <n v="0.8907749835031894"/>
        <n v="0.977469517046041"/>
        <n v="0.639563319787928"/>
        <n v="1.4983266554376975"/>
        <n v="0.6708531780135811"/>
        <n v="0.30055252941118943"/>
        <n v="2.9064419909635655"/>
        <n v="2.297565132638143"/>
        <n v="1.1278849652679823"/>
        <n v="1.100334760072253"/>
        <n v="1.513293801113982"/>
        <n v="2.124259324980571"/>
        <n v="3.056503537846316"/>
        <n v="0.920345014563265"/>
        <n v="6.7707928819125085"/>
        <n v="1.7452261349598612"/>
        <n v="0.6457258401896528"/>
        <n v="3.149101035247658"/>
        <n v="0.4791282460853361"/>
        <n v="1.6029249283537408"/>
        <n v="1.4780851534284942"/>
        <n v="2.6205079603502432"/>
        <n v="0.7208587795550314"/>
        <n v="5.945547439397906"/>
        <n v="3.3499438234034122"/>
        <n v="0.6583347270927641"/>
        <n v="8.16817147560031"/>
        <n v="2.24033902600044"/>
        <n v="2.6174776541505316"/>
        <n v="0.24446717926436354"/>
        <n v="1.732701627038954"/>
        <n v="1.3588068561128668"/>
        <n v="2.796740694024192"/>
        <n v="0.44370038588569927"/>
        <n v="1.5791148274877633"/>
        <n v="1.7448706435749413"/>
        <n v="0.7029199772122552"/>
        <n v="1.4692852993951853"/>
        <n v="1.2258297092278545"/>
        <n v="1.7345253845795092"/>
        <n v="2.062995210535888"/>
        <n v="1.466139162599161"/>
        <n v="1.9293780980724151"/>
        <n v="3.4171518238879286"/>
        <n v="6.3449045432615785"/>
        <n v="0.2744768043243097"/>
        <n v="0.23271953176807525"/>
        <n v="3.36069268993594"/>
        <n v="0.3560072985585651"/>
        <n v="0.933697646460526"/>
        <n v="4.28619515576578"/>
        <n v="1.0157654648298042"/>
        <n v="1.0572892798315652"/>
        <n v="2.7169785167116838"/>
        <n v="2.6067492241505614"/>
        <n v="5.057223320194743"/>
        <n v="10.009233478807028"/>
        <n v="0.8449408033028921"/>
        <n v="1.1795579970762453"/>
        <n v="0.39040215024496466"/>
        <n v="0.6238163185886626"/>
        <n v="2.1768030767655273"/>
        <n v="0.5540885479255955"/>
        <n v="0.7870663368045566"/>
        <n v="2.1941149042346066"/>
        <n v="1.3262630840140153"/>
        <n v="1.5182817610978356"/>
        <n v="0.6153478890050808"/>
        <n v="1.0311139468548265"/>
        <n v="2.2012160465603867"/>
        <n v="3.8121094319079276"/>
        <n v="1.879375528702334"/>
        <n v="1.2914263399152643"/>
        <n v="0.9881613575683545"/>
        <n v="1.6109747707289044"/>
        <n v="2.4152214559140304"/>
        <n v="3.618951444874737"/>
        <n v="0.9769187384723259"/>
        <n v="4.0974785603315"/>
        <n v="0.5782656985431115"/>
        <n v="2.4355206813796997"/>
        <n v="1.3426749389066805"/>
        <n v="2.123459864692941"/>
        <n v="6.550814699330548"/>
        <n v="1.9612919684412258"/>
        <n v="1.9635623797186719"/>
        <n v="1.0793190890217592"/>
        <n v="3.313210499481355"/>
        <n v="0.7701448309512192"/>
        <n v="1.8174172780790536"/>
        <n v="0.7762210600785141"/>
        <n v="4.286101246942537"/>
        <n v="0.834587653635102"/>
        <n v="2.5653014573400172"/>
        <n v="0.5505317972757827"/>
        <n v="4.141022106282652"/>
        <n v="2.423295114741213"/>
        <n v="0.3987931180541737"/>
        <n v="0.9425778974956318"/>
        <n v="1.2317700018651232"/>
        <n v="1.1351894468235297"/>
        <n v="0.8923053514483337"/>
        <n v="2.174265728970459"/>
        <n v="1.3029537821982875"/>
        <n v="1.4553563757078696"/>
        <n v="4.0338464800758835"/>
        <n v="2.0437230840579175"/>
        <n v="0.27391360058293285"/>
        <n v="2.1242670685011724"/>
        <n v="1.0314358538657604"/>
        <n v="1.3083306422097354"/>
        <n v="1.2154626621260083"/>
        <n v="0.6517997966733626"/>
        <n v="0.7890288089679636"/>
        <n v="0.8170463710855768"/>
        <n v="1.3402278181456795"/>
        <n v="2.513043862878211"/>
        <n v="2.1187260560765977"/>
        <n v="0.45992238669834534"/>
        <n v="0.9658218540124517"/>
        <n v="1.6088528817393424"/>
        <n v="4.608024139441036"/>
        <n v="2.3280601869364346"/>
        <n v="1.0652649976060342"/>
        <n v="1.027538213492334"/>
        <n v="0.9937728872402148"/>
        <n v="2.0434371984321906"/>
        <n v="0.4814754428128276"/>
        <n v="2.3792245579154736"/>
        <n v="0.8451762943792634"/>
        <n v="0.5431463830874073"/>
        <n v="1.395863228211114"/>
        <n v="1.3855003077201742"/>
        <n v="4.165329078537617"/>
        <n v="0.801644801891446"/>
        <n v="1.0040780701702126"/>
        <n v="0.2960556910540201"/>
        <n v="0.22984560531750128"/>
        <n v="3.1843402251395023"/>
        <n v="1.8227804342917429"/>
        <n v="0.949332786053617"/>
        <n v="1.6812221122840874"/>
        <n v="0.29817167016375795"/>
        <n v="2.804503218983993"/>
        <n v="3.946800905867293"/>
        <n v="1.0838580426998279"/>
        <n v="0.8274058328193371"/>
        <n v="1.2053793652306664"/>
        <n v="8.909309102934415"/>
        <n v="7.393515996419375"/>
        <n v="0.437732432753702"/>
        <n v="1.4920326076017312"/>
        <n v="0.669054228868856"/>
        <n v="4.309358034134197"/>
        <n v="2.894009993753904"/>
        <n v="3.2543754617064176"/>
        <n v="2.277977561230162"/>
        <n v="4.6543099029329085"/>
        <n v="2.488329986695215"/>
        <n v="2.308434944411962"/>
        <n v="4.8087327018912935"/>
        <n v="1.285075485077768"/>
        <n v="2.834064320535058"/>
        <n v="3.0459081893129425"/>
        <n v="7.5799001523453535"/>
        <n v="1.5355485053393652"/>
        <n v="1.648831381578044"/>
        <n v="4.627915798651135"/>
        <n v="5.628734041616112"/>
        <n v="1.1050784726975615"/>
        <n v="0.2388178624912871"/>
        <n v="1.4909234149494985"/>
        <n v="0.6516295865060837"/>
        <n v="3.5701787995890095"/>
        <n v="3.8813648293963254"/>
        <n v="1.2659772364340738"/>
        <n v="0.8317791145798391"/>
        <n v="2.776650408200527"/>
        <n v="3.341925807694424"/>
        <n v="1.336611637096417"/>
        <n v="2.199448049006558"/>
        <n v="3.7949848612167045"/>
        <n v="8.106047894430661"/>
        <n v="5.724512085849562"/>
        <n v="2.7763520811962037"/>
        <n v="0.6350780743938631"/>
        <n v="0.921795298843603"/>
        <n v="3.354279435360516"/>
        <n v="3.5841224597519137"/>
        <n v="6.970788222288512"/>
        <n v="0.7553993110317452"/>
        <n v="0.7039814120095844"/>
        <n v="0.24533032966867613"/>
        <n v="0.7902562242399069"/>
        <n v="0.2908217694022178"/>
        <n v="3.2724388857305287"/>
        <n v="0.5256064902486655"/>
        <n v="4.679307153778064"/>
        <n v="2.241309079917206"/>
        <n v="8.10768870698421"/>
        <n v="5.712725202432834"/>
        <n v="6.0577117817097195"/>
        <n v="1.8174466448557263"/>
        <n v="1.0486776822835786"/>
        <n v="1.6274091165664828"/>
        <n v="1.416995635876356"/>
        <n v="0.45778760478400277"/>
        <n v="1.6387218266778696"/>
        <n v="4.079702143975276"/>
        <n v="6.026169430386143"/>
        <n v="4.5513641081401675"/>
        <n v="2.6499313367706496"/>
        <n v="0.49474186614331694"/>
        <n v="0.2890583019881784"/>
        <n v="3.7115858199205687"/>
        <n v="1.1791635925911546"/>
        <n v="3.487269834620065"/>
        <n v="1.6830268489965936"/>
        <n v="6.1625024534078126"/>
        <n v="4.130587250328908"/>
        <n v="0.8866550324097158"/>
        <n v="6.763594254317884"/>
        <n v="2.1996298320142422"/>
        <n v="2.471358154200557"/>
        <n v="0.40340321914764377"/>
        <n v="1.592942606734395"/>
        <n v="0.39054929772067837"/>
        <n v="6.397673761167229"/>
        <n v="0.49247838165441965"/>
        <n v="1.3789000952665182"/>
        <n v="3.695844574880719"/>
        <n v="1.1643137737854976"/>
        <n v="16.30709635679916"/>
        <n v="2.5456443457366436"/>
        <n v="0.810680742990887"/>
        <n v="1.2733466118178511"/>
        <n v="1.0585848011972614"/>
        <n v="1.694965791082521"/>
        <n v="0.7091170677205985"/>
        <n v="0.6068694200371099"/>
        <n v="1.7372331869701831"/>
        <n v="1.9438882484042561"/>
        <n v="0.509807521236918"/>
        <n v="8.394583670647465"/>
        <n v="2.4593219633366172"/>
        <n v="0.8686323547207596"/>
        <n v="4.77337633920612"/>
        <n v="9.143523373254594"/>
        <n v="5.818261437574582"/>
        <n v="1.1224205468071669"/>
        <n v="6.995639142652567"/>
        <n v="6.371147904111972"/>
        <n v="0.3183765968293064"/>
        <n v="2.4745532717450374"/>
        <n v="1.3902001671944582"/>
        <n v="2.1789941976887435"/>
        <n v="0.5847850139442747"/>
        <n v="0.5746780472964312"/>
        <n v="1.0836821351274712"/>
        <n v="3.24475396676057"/>
        <n v="0.9862401650681358"/>
        <n v="1.8840022500733153"/>
        <n v="4.942954302987198"/>
        <n v="3.197223233751179"/>
        <n v="1.5143539729527224"/>
        <n v="2.325420571890765"/>
        <n v="1.95340200219407"/>
        <n v="3.2954693929009404"/>
        <n v="0.6661825705168596"/>
        <n v="1.8777763896378696"/>
        <n v="0.9257430093940561"/>
        <n v="2.437318377196585"/>
        <n v="1.750618701913814"/>
        <n v="0.6832454662428251"/>
        <n v="3.3099347076232553"/>
        <n v="2.3645532535254703"/>
      </sharedItems>
    </cacheField>
    <cacheField name="Profit" numFmtId="0">
      <sharedItems containsSemiMixedTypes="0" containsString="0" containsNumber="1">
        <n v="37956.97"/>
        <n v="-4312.1"/>
        <n v="34575.1"/>
        <n v="9738.67"/>
        <n v="3143.380000000001"/>
        <n v="26277.289999999997"/>
        <n v="3706.75"/>
        <n v="5240.73"/>
        <n v="1774.2700000000004"/>
        <n v="-4997.87"/>
        <n v="11409.91"/>
        <n v="-3736.4700000000003"/>
        <n v="1174.3999999999996"/>
        <n v="-3065.88"/>
        <n v="-1560.96"/>
        <n v="-1412.8400000000001"/>
        <n v="61213.41"/>
        <n v="6905.34"/>
        <n v="6310.539999999999"/>
        <n v="252.44999999999982"/>
        <n v="7474.240000000001"/>
        <n v="6168.259999999999"/>
        <n v="-2125.0400000000004"/>
        <n v="-3316.290000000001"/>
        <n v="-166.26999999999998"/>
        <n v="24196.93"/>
        <n v="18118.18"/>
        <n v="-1758.0999999999995"/>
        <n v="16842.11"/>
        <n v="3113.26"/>
        <n v="5830.17"/>
        <n v="6396.84"/>
        <n v="3265.5499999999993"/>
        <n v="54699.75"/>
        <n v="32213.8"/>
        <n v="-1094.9099999999994"/>
        <n v="2496.13"/>
        <n v="-1357.2799999999997"/>
        <n v="18972.54"/>
        <n v="3868.38"/>
        <n v="-3162.3199999999997"/>
        <n v="41023.76"/>
        <n v="-6223.049999999999"/>
        <n v="-244.3100000000004"/>
        <n v="1223.7799999999997"/>
        <n v="13995.970000000001"/>
        <n v="8218.03"/>
        <n v="3055.46"/>
        <n v="15246.240000000002"/>
        <n v="-3897.7"/>
        <n v="-294.78999999999996"/>
        <n v="155.96000000000004"/>
        <n v="-1928.8900000000003"/>
        <n v="-1954.7299999999996"/>
        <n v="-3691.0500000000006"/>
        <n v="31.13000000000011"/>
        <n v="13000.68"/>
        <n v="7531.98"/>
        <n v="9274.189999999999"/>
        <n v="1454.1599999999999"/>
        <n v="21095.7"/>
        <n v="-498.3800000000001"/>
        <n v="13068.869999999999"/>
        <n v="38996.21000000001"/>
        <n v="-2239.7700000000004"/>
        <n v="6468.499999999999"/>
        <n v="16664.67"/>
        <n v="31796.61"/>
        <n v="-1645.0"/>
        <n v="-4141.280000000001"/>
        <n v="5884.58"/>
        <n v="-862.96"/>
        <n v="20303.140000000003"/>
        <n v="2713.199999999999"/>
        <n v="10398.57"/>
        <n v="5033.139999999999"/>
        <n v="4884.390000000001"/>
        <n v="-604.9700000000003"/>
        <n v="18213.49"/>
        <n v="3785.8"/>
        <n v="-2580.5"/>
        <n v="35455.57"/>
        <n v="15618.579999999998"/>
        <n v="13265.809999999998"/>
        <n v="-4355.68"/>
        <n v="-2467.79"/>
        <n v="10352.95"/>
        <n v="-5730.939999999999"/>
        <n v="841.8799999999992"/>
        <n v="-1512.6499999999996"/>
        <n v="25378.659999999996"/>
        <n v="-5800.92"/>
        <n v="8001.739999999998"/>
        <n v="-6733.6"/>
        <n v="-1674.1000000000004"/>
        <n v="10222.779999999999"/>
        <n v="-3302.37"/>
        <n v="18519.659999999996"/>
        <n v="14596.519999999999"/>
        <n v="-977.2000000000003"/>
        <n v="6807.38"/>
        <n v="5610.81"/>
        <n v="22530.18"/>
        <n v="8470.800000000001"/>
        <n v="9523.27"/>
        <n v="2866.71"/>
        <n v="16697.62"/>
        <n v="2946.5999999999995"/>
        <n v="2563.41"/>
        <n v="6287.87"/>
        <n v="-2311.6499999999996"/>
        <n v="4091.59"/>
        <n v="4362.540000000001"/>
        <n v="9574.66"/>
        <n v="3495.3900000000003"/>
        <n v="13369.849999999999"/>
        <n v="728.3800000000001"/>
        <n v="-3747.42"/>
        <n v="11192.15"/>
        <n v="10762.630000000001"/>
        <n v="9948.039999999999"/>
        <n v="5567.5599999999995"/>
        <n v="-6518.0"/>
        <n v="2756.5299999999997"/>
        <n v="7698.679999999999"/>
        <n v="-3836.04"/>
        <n v="-1834.0800000000008"/>
        <n v="14447.589999999998"/>
        <n v="-1905.33"/>
        <n v="7055.99"/>
        <n v="-731.9499999999989"/>
        <n v="2549.3200000000006"/>
        <n v="-3305.930000000001"/>
        <n v="3004.42"/>
        <n v="4309.64"/>
        <n v="-7216.66"/>
        <n v="8128.7"/>
        <n v="-390.4200000000001"/>
        <n v="8699.49"/>
        <n v="-1393.4099999999999"/>
        <n v="15858.14"/>
        <n v="26498.87"/>
        <n v="7334.35"/>
        <n v="7234.84"/>
        <n v="-3584.24"/>
        <n v="646.9099999999999"/>
        <n v="-2513.24"/>
        <n v="-4089.54"/>
        <n v="46406.08"/>
        <n v="8020.639999999999"/>
        <n v="-3027.8199999999997"/>
        <n v="-3231.29"/>
        <n v="8815.560000000001"/>
        <n v="-989.81"/>
        <n v="14461.14"/>
        <n v="63645.05"/>
        <n v="-2588.66"/>
        <n v="-5060.539999999999"/>
        <n v="-1795.6999999999998"/>
        <n v="14414.109999999999"/>
        <n v="11029.53"/>
        <n v="-2318.6500000000005"/>
        <n v="13026.38"/>
        <n v="1891.4399999999987"/>
        <n v="16758.65"/>
        <n v="-1116.3999999999996"/>
        <n v="-7363.789999999999"/>
        <n v="3031.25"/>
        <n v="-2591.82"/>
        <n v="-5951.0599999999995"/>
        <n v="47853.03"/>
        <n v="5767.02"/>
        <n v="671.1199999999999"/>
        <n v="7223.18"/>
        <n v="28930.560000000005"/>
        <n v="87.94999999999982"/>
        <n v="9453.460000000001"/>
        <n v="19075.89"/>
        <n v="7111.939999999999"/>
        <n v="-2037.19"/>
        <n v="-5285.8099999999995"/>
        <n v="-426.1899999999996"/>
        <n v="2822.83"/>
        <n v="-5758.5"/>
        <n v="715.9900000000007"/>
        <n v="-1555.5100000000002"/>
        <n v="-892.0699999999997"/>
        <n v="1700.6199999999994"/>
        <n v="-2628.31"/>
        <n v="-1013.6700000000001"/>
        <n v="-4851.92"/>
        <n v="16650.36"/>
        <n v="1600.8400000000001"/>
        <n v="27157.64"/>
        <n v="640.6999999999998"/>
        <n v="6196.4"/>
        <n v="2335.7899999999995"/>
        <n v="1772.1599999999999"/>
        <n v="5548.370000000001"/>
        <n v="19953.28"/>
        <n v="5137.689999999999"/>
        <n v="5428.0599999999995"/>
        <n v="4734.48"/>
        <n v="-1432.5599999999995"/>
        <n v="26848.219999999998"/>
        <n v="4554.9800000000005"/>
        <n v="-4130.889999999999"/>
        <n v="2631.26"/>
        <n v="-3048.4800000000005"/>
        <n v="2698.420000000001"/>
        <n v="7507.549999999999"/>
        <n v="7672.64"/>
        <n v="-1828.9499999999998"/>
        <n v="2957.8199999999997"/>
        <n v="2652.4999999999995"/>
        <n v="-1602.63"/>
        <n v="-1628.2300000000005"/>
        <n v="34324.969999999994"/>
        <n v="19388.11"/>
        <n v="2214.58"/>
        <n v="-2507.7899999999995"/>
        <n v="8717.14"/>
        <n v="2957.4200000000005"/>
        <n v="34110.25"/>
        <n v="-372.42999999999984"/>
        <n v="-185.5000000000009"/>
        <n v="-3737.749999999999"/>
        <n v="2038.4599999999996"/>
        <n v="-3025.5899999999992"/>
        <n v="-3576.17"/>
        <n v="9312.34"/>
        <n v="5085.560000000001"/>
        <n v="625.5799999999999"/>
        <n v="613.2299999999996"/>
        <n v="2310.3199999999997"/>
        <n v="10010.45"/>
        <n v="9878.97"/>
        <n v="-537.6599999999999"/>
        <n v="33881.71"/>
        <n v="6086.9400000000005"/>
        <n v="-2896.169999999999"/>
        <n v="17109.809999999998"/>
        <n v="-2152.1899999999996"/>
        <n v="2122.7599999999998"/>
        <n v="3502.71"/>
        <n v="13593.55"/>
        <n v="-1548.1200000000003"/>
        <n v="25883.66"/>
        <n v="11629.119999999999"/>
        <n v="-2492.25"/>
        <n v="29613.149999999998"/>
        <n v="5580.0"/>
        <n v="11398.640000000001"/>
        <n v="-5442.73"/>
        <n v="3553.0899999999992"/>
        <n v="2579.8500000000004"/>
        <n v="10142.17"/>
        <n v="-4161.95"/>
        <n v="4199.04"/>
        <n v="6096.58"/>
        <n v="-2247.55"/>
        <n v="2173.34"/>
        <n v="1472.1499999999996"/>
        <n v="5984.81"/>
        <n v="6838.11"/>
        <n v="4582.119999999999"/>
        <n v="7882.129999999999"/>
        <n v="9565.83"/>
        <n v="32571.1"/>
        <n v="-6431.929999999999"/>
        <n v="-7983.630000000001"/>
        <n v="23658.390000000003"/>
        <n v="-4228.25"/>
        <n v="-368.96000000000004"/>
        <n v="16118.130000000001"/>
        <n v="134.51000000000022"/>
        <n v="437.53999999999996"/>
        <n v="8918.449999999999"/>
        <n v="9650.65"/>
        <n v="21883.77"/>
        <n v="27827.36"/>
        <n v="-1273.9399999999996"/>
        <n v="709.94"/>
        <n v="-3583.4599999999996"/>
        <n v="-1798.0"/>
        <n v="4136.91"/>
        <n v="-2541.7799999999997"/>
        <n v="-1258.3400000000001"/>
        <n v="6709.660000000001"/>
        <n v="1475.9000000000005"/>
        <n v="2563.66"/>
        <n v="-1820.77"/>
        <n v="248.69999999999982"/>
        <n v="4755.290000000001"/>
        <n v="7335.05"/>
        <n v="3721.5699999999997"/>
        <n v="940.29"/>
        <n v="-111.64999999999964"/>
        <n v="4040.59"/>
        <n v="10551.41"/>
        <n v="9427.23"/>
        <n v="-151.42000000000007"/>
        <n v="24383.63"/>
        <n v="-2331.44"/>
        <n v="9762.0"/>
        <n v="1842.5699999999997"/>
        <n v="7894.530000000001"/>
        <n v="38025.19"/>
        <n v="4634.85"/>
        <n v="6478.82"/>
        <n v="331.25"/>
        <n v="13157.31"/>
        <n v="-772.5799999999999"/>
        <n v="5073.660000000001"/>
        <n v="-1774.5199999999995"/>
        <n v="8504.199999999999"/>
        <n v="-1476.7699999999995"/>
        <n v="10216.66"/>
        <n v="-2439.21"/>
        <n v="8886.140000000001"/>
        <n v="4997.7300000000005"/>
        <n v="-3051.6600000000003"/>
        <n v="-410.15000000000055"/>
        <n v="1466.33"/>
        <n v="949.9099999999999"/>
        <n v="-509.6099999999997"/>
        <n v="7443.600000000001"/>
        <n v="2116.3200000000006"/>
        <n v="3497.8199999999997"/>
        <n v="16024.14"/>
        <n v="9047.19"/>
        <n v="-4703.29"/>
        <n v="8908.310000000001"/>
        <n v="164.65000000000055"/>
        <n v="2864.33"/>
        <n v="1652.5899999999992"/>
        <n v="-1565.2399999999998"/>
        <n v="-2265.5499999999993"/>
        <n v="-1565.1499999999996"/>
        <n v="2550.460000000001"/>
        <n v="10604.41"/>
        <n v="11873.419999999998"/>
        <n v="-5139.599999999999"/>
        <n v="-244.01999999999953"/>
        <n v="2347.0"/>
        <n v="25624.44"/>
        <n v="4107.73"/>
        <n v="498.89999999999964"/>
        <n v="249.53999999999905"/>
        <n v="-20.950000000000273"/>
        <n v="9125.86"/>
        <n v="-4897.619999999999"/>
        <n v="10627.669999999998"/>
        <n v="-1215.62"/>
        <n v="-3541.6800000000003"/>
        <n v="2816.6500000000005"/>
        <n v="1872.8799999999992"/>
        <n v="11922.94"/>
        <n v="-1825.5700000000006"/>
        <n v="27.38000000000011"/>
        <n v="-4949.889999999999"/>
        <n v="-7637.960000000001"/>
        <n v="13544.22"/>
        <n v="4117.579999999999"/>
        <n v="-350.5699999999997"/>
        <n v="2499.22"/>
        <n v="-5371.78"/>
        <n v="18804.71"/>
        <n v="25022.200000000004"/>
        <n v="702.7999999999993"/>
        <n v="-1303.9800000000005"/>
        <n v="1357.42"/>
        <n v="30613.930000000004"/>
        <n v="26640.95"/>
        <n v="-5297.73"/>
        <n v="2786.7300000000005"/>
        <n v="-1629.62"/>
        <n v="17652.910000000003"/>
        <n v="12129.240000000002"/>
        <n v="13763.119999999999"/>
        <n v="10138.95"/>
        <n v="22385.06"/>
        <n v="12741.339999999998"/>
        <n v="12017.359999999999"/>
        <n v="30142.920000000002"/>
        <n v="1998.0"/>
        <n v="13502.73"/>
        <n v="7189.26"/>
        <n v="28376.28"/>
        <n v="2813.9700000000003"/>
        <n v="5196.510000000001"/>
        <n v="17310.309999999998"/>
        <n v="32579.899999999998"/>
        <n v="776.7799999999997"/>
        <n v="-6104.46"/>
        <n v="4723.4000000000015"/>
        <n v="-1801.19"/>
        <n v="16434.52"/>
        <n v="10154.65"/>
        <n v="2666.6000000000004"/>
        <n v="-1128.3500000000004"/>
        <n v="8854.95"/>
        <n v="17020.18"/>
        <n v="3116.9799999999996"/>
        <n v="5163.300000000001"/>
        <n v="10477.42"/>
        <n v="47516.65"/>
        <n v="17821.71"/>
        <n v="10459.09"/>
        <n v="-1966.1300000000006"/>
        <n v="-629.21"/>
        <n v="7541.839999999999"/>
        <n v="22030.29"/>
        <n v="27221.54"/>
        <n v="-2163.5200000000004"/>
        <n v="-1834.5900000000001"/>
        <n v="-7021.59"/>
        <n v="-1115.9899999999998"/>
        <n v="-5138.67"/>
        <n v="11991.66"/>
        <n v="-2407.3999999999996"/>
        <n v="18289.100000000002"/>
        <n v="6734.710000000001"/>
        <n v="36138.83"/>
        <n v="32365.629999999997"/>
        <n v="16481.97"/>
        <n v="3103.24"/>
        <n v="373.0199999999995"/>
        <n v="3167.8200000000006"/>
        <n v="1842.2200000000003"/>
        <n v="-2631.27"/>
        <n v="5199.629999999999"/>
        <n v="10682.84"/>
        <n v="32326.06"/>
        <n v="11496.76"/>
        <n v="15222.58"/>
        <n v="-2837.0799999999995"/>
        <n v="-6350.699999999999"/>
        <n v="16604.45"/>
        <n v="1199.6400000000003"/>
        <n v="9974.35"/>
        <n v="3384.4800000000005"/>
        <n v="22883.36"/>
        <n v="19631.13"/>
        <n v="-572.8500000000004"/>
        <n v="37428.32"/>
        <n v="3402.8099999999995"/>
        <n v="9734.02"/>
        <n v="-4537.5599999999995"/>
        <n v="3638.449999999999"/>
        <n v="-5381.34"/>
        <n v="41241.78999999999"/>
        <n v="-4375.42"/>
        <n v="2907.38"/>
        <n v="19634.51"/>
        <n v="653.7700000000004"/>
        <n v="56783.97"/>
        <n v="6966.419999999999"/>
        <n v="-950.4299999999998"/>
        <n v="1638.62"/>
        <n v="222.73999999999978"/>
        <n v="3330.7000000000007"/>
        <n v="-2054.1600000000008"/>
        <n v="-2114.5"/>
        <n v="2951.6900000000005"/>
        <n v="7720.6"/>
        <n v="-3631.3900000000003"/>
        <n v="25027.559999999998"/>
        <n v="10516.019999999999"/>
        <n v="-1107.2900000000009"/>
        <n v="13968.36"/>
        <n v="26559.449999999997"/>
        <n v="13203.53"/>
        <n v="1044.7700000000004"/>
        <n v="16663.5"/>
        <n v="41997.649999999994"/>
        <n v="-5401.92"/>
        <n v="9225.69"/>
        <n v="1255.5899999999997"/>
        <n v="8048.51"/>
        <n v="-3366.26"/>
        <n v="-2754.1"/>
        <n v="690.5500000000011"/>
        <n v="16582.019999999997"/>
        <n v="-121.3700000000008"/>
        <n v="8470.43"/>
        <n v="17740.14"/>
        <n v="13817.48"/>
        <n v="4187.509999999999"/>
        <n v="8226.13"/>
        <n v="6787.45"/>
        <n v="12016.919999999998"/>
        <n v="-2972.040000000001"/>
        <n v="5550.540000000001"/>
        <n v="-405.5099999999993"/>
        <n v="7349.900000000001"/>
        <n v="4012.71"/>
        <n v="-1543.5100000000002"/>
        <n v="16695.03"/>
        <n v="7787.56"/>
      </sharedItems>
    </cacheField>
    <cacheField name="Profit Margin%" numFmtId="0">
      <sharedItems containsSemiMixedTypes="0" containsString="0" containsNumber="1">
        <n v="86.15264807760532"/>
        <n v="-242.6686175750584"/>
        <n v="90.54491250362047"/>
        <n v="60.29012549363865"/>
        <n v="29.19359991678555"/>
        <n v="87.31345540091742"/>
        <n v="40.949875827448764"/>
        <n v="59.75467509500696"/>
        <n v="21.672008520908967"/>
        <n v="-343.55288844895375"/>
        <n v="64.89101238171232"/>
        <n v="-55.18717857069009"/>
        <n v="21.625523420898528"/>
        <n v="-151.65536379420362"/>
        <n v="-81.48376286103556"/>
        <n v="-26.10805486823456"/>
        <n v="91.2902935234778"/>
        <n v="43.10199220644495"/>
        <n v="44.927794184235175"/>
        <n v="6.627254040800463"/>
        <n v="59.71495294622392"/>
        <n v="55.925667693317585"/>
        <n v="-105.01700007907016"/>
        <n v="-48.022155450168356"/>
        <n v="-5.527556332737149"/>
        <n v="74.32799885483497"/>
        <n v="79.75572575536744"/>
        <n v="-36.15035058499372"/>
        <n v="78.37680746664284"/>
        <n v="28.12357440381285"/>
        <n v="59.975311054989476"/>
        <n v="47.23498237781695"/>
        <n v="34.567168097284096"/>
        <n v="94.73565254891162"/>
        <n v="86.6716315590659"/>
        <n v="-33.32734710773986"/>
        <n v="39.72407844460324"/>
        <n v="-43.82493017548957"/>
        <n v="70.6267968428055"/>
        <n v="45.692153958455876"/>
        <n v="-51.966883912930584"/>
        <n v="92.60887713111262"/>
        <n v="-206.6716925488529"/>
        <n v="-4.183927730444841"/>
        <n v="26.127539833513737"/>
        <n v="73.56647304352762"/>
        <n v="57.58536168352132"/>
        <n v="40.33142024424885"/>
        <n v="79.00994008792217"/>
        <n v="-274.8788761398337"/>
        <n v="-3.7485869204466407"/>
        <n v="2.1669899459225137"/>
        <n v="-32.17208124706032"/>
        <n v="-36.08696775908667"/>
        <n v="-106.93364467569795"/>
        <n v="0.3910695935539483"/>
        <n v="80.19452941535694"/>
        <n v="71.7086253366706"/>
        <n v="59.1453751292224"/>
        <n v="19.074202814906148"/>
        <n v="82.44027625857446"/>
        <n v="-6.625534590693305"/>
        <n v="60.79160584654629"/>
        <n v="90.9391334197417"/>
        <n v="-32.13683086830008"/>
        <n v="53.86013600548218"/>
        <n v="63.637064885124516"/>
        <n v="91.25989974117311"/>
        <n v="-39.43907801265407"/>
        <n v="-208.52996565857987"/>
        <n v="46.054235961651344"/>
        <n v="-22.894254416567403"/>
        <n v="78.97801910972474"/>
        <n v="23.322362115516686"/>
        <n v="75.75582289058408"/>
        <n v="49.471875632756486"/>
        <n v="34.81342733063487"/>
        <n v="-10.543294132409432"/>
        <n v="80.40115179839378"/>
        <n v="54.583072009919476"/>
        <n v="-32.96255515048706"/>
        <n v="88.74013312182545"/>
        <n v="70.49495387170738"/>
        <n v="62.4710856354944"/>
        <n v="-118.93031307510418"/>
        <n v="-49.47979636970247"/>
        <n v="64.10856586965582"/>
        <n v="-217.84930949674796"/>
        <n v="8.264493639261344"/>
        <n v="-26.65401497410631"/>
        <n v="73.73851951500852"/>
        <n v="-183.91738980181287"/>
        <n v="48.35829085779831"/>
        <n v="-279.26459549019364"/>
        <n v="-56.029880818107905"/>
        <n v="76.9889684175011"/>
        <n v="-207.75633202058458"/>
        <n v="84.43484378127326"/>
        <n v="79.68654974335905"/>
        <n v="-28.126448129268844"/>
        <n v="67.85205946965317"/>
        <n v="42.48730676177603"/>
        <n v="79.15802950431238"/>
        <n v="64.99900247080309"/>
        <n v="73.3525792062926"/>
        <n v="28.299405820178418"/>
        <n v="82.33093865717342"/>
        <n v="26.950839824242394"/>
        <n v="20.582347939404595"/>
        <n v="48.25623917416273"/>
        <n v="-69.41099814435589"/>
        <n v="56.873374560931644"/>
        <n v="32.434011795835254"/>
        <n v="73.2792540021843"/>
        <n v="47.14841257744224"/>
        <n v="64.86581552576104"/>
        <n v="11.595010379124588"/>
        <n v="-71.7005102851053"/>
        <n v="76.34111854064368"/>
        <n v="58.34735188896762"/>
        <n v="63.666926291173255"/>
        <n v="42.99586224791606"/>
        <n v="-166.83175792758"/>
        <n v="48.78529218647406"/>
        <n v="67.6644638253852"/>
        <n v="-228.80558289344188"/>
        <n v="-31.283932802177855"/>
        <n v="64.9750400259044"/>
        <n v="-28.980606890257814"/>
        <n v="61.86805671246569"/>
        <n v="-8.667761658166063"/>
        <n v="25.092670788868094"/>
        <n v="-65.32670962591469"/>
        <n v="30.390407522496275"/>
        <n v="38.61767636579999"/>
        <n v="-563.5902161689366"/>
        <n v="51.27042314640078"/>
        <n v="-3.8724267386097084"/>
        <n v="55.636143869432864"/>
        <n v="-35.57748528679577"/>
        <n v="64.16602904480536"/>
        <n v="83.38434680053204"/>
        <n v="53.036241389434046"/>
        <n v="69.20470698069495"/>
        <n v="-143.36501231960577"/>
        <n v="9.054112496553497"/>
        <n v="-62.27704567868807"/>
        <n v="-82.65103194043606"/>
        <n v="83.12461756938205"/>
        <n v="51.5019452954287"/>
        <n v="-58.928901595729144"/>
        <n v="-70.92352535765865"/>
        <n v="75.26876028315992"/>
        <n v="-44.77420872405198"/>
        <n v="64.33469555538353"/>
        <n v="92.74137729543654"/>
        <n v="-108.64579923279025"/>
        <n v="-174.65013304435152"/>
        <n v="-32.33473846081819"/>
        <n v="65.77142346088104"/>
        <n v="59.61930666764685"/>
        <n v="-47.400549103464925"/>
        <n v="81.61605858441057"/>
        <n v="17.94724112311637"/>
        <n v="79.83776764004178"/>
        <n v="-26.450212757891933"/>
        <n v="-216.6827525732546"/>
        <n v="33.45591765512233"/>
        <n v="-64.42729799197586"/>
        <n v="-167.60810909766855"/>
        <n v="87.63753505966208"/>
        <n v="43.88930830629106"/>
        <n v="10.246716980094996"/>
        <n v="64.56237134549706"/>
        <n v="73.73618046842087"/>
        <n v="1.4921296312005208"/>
        <n v="72.44147223825058"/>
        <n v="63.45174001001875"/>
        <n v="43.91650606419693"/>
        <n v="-85.32804463283462"/>
        <n v="-125.34794434787557"/>
        <n v="-5.949416212050986"/>
        <n v="42.61956239469028"/>
        <n v="-252.7575748265131"/>
        <n v="9.725957802880888"/>
        <n v="-46.5978263474489"/>
        <n v="-12.255964696798582"/>
        <n v="31.050550124704664"/>
        <n v="-97.33688366133131"/>
        <n v="-18.495670166296268"/>
        <n v="-245.34757303154882"/>
        <n v="68.13655662066355"/>
        <n v="26.929495202336255"/>
        <n v="85.76269270255855"/>
        <n v="9.955977393544694"/>
        <n v="61.669528003781934"/>
        <n v="41.48532963910201"/>
        <n v="21.69231277686721"/>
        <n v="38.82819181023322"/>
        <n v="84.68803425333137"/>
        <n v="58.1627477839539"/>
        <n v="64.1930310885731"/>
        <n v="53.950314678262416"/>
        <n v="-29.081489721925596"/>
        <n v="81.49196332770288"/>
        <n v="37.077725184066686"/>
        <n v="-87.44308427654849"/>
        <n v="39.27300624485069"/>
        <n v="-84.10203214575392"/>
        <n v="28.783576501409097"/>
        <n v="46.778781298581535"/>
        <n v="57.82519436748795"/>
        <n v="-45.23599290648581"/>
        <n v="39.41353147011558"/>
        <n v="39.727233786346105"/>
        <n v="-21.573666243080833"/>
        <n v="-25.182267259325258"/>
        <n v="83.87729199635216"/>
        <n v="79.3427942844702"/>
        <n v="28.680102465014002"/>
        <n v="-71.40754113111271"/>
        <n v="69.25004289827072"/>
        <n v="42.4770804278416"/>
        <n v="88.90605948608452"/>
        <n v="-12.261796583830476"/>
        <n v="-2.3049806220092837"/>
        <n v="-56.35668417187977"/>
        <n v="33.258879405847864"/>
        <n v="-49.0639133529983"/>
        <n v="-232.7205403857667"/>
        <n v="65.59367077997409"/>
        <n v="56.475662613674615"/>
        <n v="11.338475926718043"/>
        <n v="9.118566795587252"/>
        <n v="33.91897863693954"/>
        <n v="52.92476825967816"/>
        <n v="67.28287771900885"/>
        <n v="-8.654904864621226"/>
        <n v="85.23068099348602"/>
        <n v="42.70083515435098"/>
        <n v="-54.86448547673035"/>
        <n v="68.24490580622619"/>
        <n v="-108.71238716781748"/>
        <n v="37.61404652761658"/>
        <n v="32.344899231248704"/>
        <n v="61.83945955782003"/>
        <n v="-38.72342660753548"/>
        <n v="83.18069092555642"/>
        <n v="70.14875315180542"/>
        <n v="-51.89841259264041"/>
        <n v="87.75735789843337"/>
        <n v="55.36389857095657"/>
        <n v="61.795280337377434"/>
        <n v="-309.0528646868434"/>
        <n v="42.28665891490397"/>
        <n v="26.406023379901395"/>
        <n v="64.24409305672476"/>
        <n v="-125.37731131421823"/>
        <n v="36.67338292358926"/>
        <n v="42.68916130360408"/>
        <n v="-42.263704606312245"/>
        <n v="31.93969881740199"/>
        <n v="18.42260042547866"/>
        <n v="42.34734130210357"/>
        <n v="51.52679003359209"/>
        <n v="31.79365059540412"/>
        <n v="48.1698273138339"/>
        <n v="70.73586274366261"/>
        <n v="84.23932159764293"/>
        <n v="-264.32951136316933"/>
        <n v="-329.7017927126911"/>
        <n v="70.24422961984479"/>
        <n v="-180.89311765486028"/>
        <n v="-7.101051800956533"/>
        <n v="76.66928444322461"/>
        <n v="1.5520772634700506"/>
        <n v="5.41850569417406"/>
        <n v="63.194409015413044"/>
        <n v="61.63804363168608"/>
        <n v="80.22630331536374"/>
        <n v="90.00922496095887"/>
        <n v="-18.35148641076133"/>
        <n v="15.22248143129149"/>
        <n v="-156.14613018205267"/>
        <n v="-60.30359742150135"/>
        <n v="54.06107191442039"/>
        <n v="-80.47656890650676"/>
        <n v="-27.054093567251464"/>
        <n v="54.42353551903704"/>
        <n v="24.600178346709345"/>
        <n v="34.136072392984396"/>
        <n v="-62.50969863841416"/>
        <n v="3.0175080988606973"/>
        <n v="54.570565594295175"/>
        <n v="73.76780446988614"/>
        <n v="46.79083638539886"/>
        <n v="22.566237880387828"/>
        <n v="-1.1980474991227872"/>
        <n v="37.92578144799013"/>
        <n v="58.5959292655607"/>
        <n v="72.3676867393115"/>
        <n v="-2.3626593102070887"/>
        <n v="75.59474722622839"/>
        <n v="-72.93088670474664"/>
        <n v="58.941017925024994"/>
        <n v="25.52180941022966"/>
        <n v="52.90704493043935"/>
        <n v="84.73472314669208"/>
        <n v="49.0132006814483"/>
        <n v="49.072155265916514"/>
        <n v="7.348993437487521"/>
        <n v="69.8177945483229"/>
        <n v="-29.845706912670266"/>
        <n v="44.976862932822726"/>
        <n v="-28.829279625426658"/>
        <n v="76.66877326536923"/>
        <n v="-19.819649337542135"/>
        <n v="61.01822664393961"/>
        <n v="-81.6425508841338"/>
        <n v="75.85137257579898"/>
        <n v="58.733874635537674"/>
        <n v="-150.75658398502148"/>
        <n v="-6.092027264477021"/>
        <n v="18.816012852576485"/>
        <n v="11.90897670884933"/>
        <n v="-12.069259517144351"/>
        <n v="54.00746161447746"/>
        <n v="23.251306864250925"/>
        <n v="31.288307338907913"/>
        <n v="75.20976554414662"/>
        <n v="51.069691985156396"/>
        <n v="-265.07862255537395"/>
        <n v="52.924939861466015"/>
        <n v="3.0477759472817234"/>
        <n v="23.566721764536005"/>
        <n v="17.726802216131844"/>
        <n v="-53.42134273495813"/>
        <n v="-26.73808467247011"/>
        <n v="-22.392074108516034"/>
        <n v="25.385819749392603"/>
        <n v="60.20761854690863"/>
        <n v="52.80182649701424"/>
        <n v="-117.42798979165188"/>
        <n v="-3.5387629556690183"/>
        <n v="37.84391280581897"/>
        <n v="78.29872479528065"/>
        <n v="57.0457840561274"/>
        <n v="6.1266443328846885"/>
        <n v="2.680018429556875"/>
        <n v="-0.6266132674517111"/>
        <n v="51.06284642526615"/>
        <n v="-107.6949125708053"/>
        <n v="57.969499067539175"/>
        <n v="-18.31851019134963"/>
        <n v="-84.11242919739233"/>
        <n v="28.359743290783403"/>
        <n v="27.82390632265616"/>
        <n v="75.99229301827253"/>
        <n v="-24.74352701352812"/>
        <n v="0.406150705942737"/>
        <n v="-237.77428714164932"/>
        <n v="-335.0746661519294"/>
        <n v="68.59632045265542"/>
        <n v="45.13875718725505"/>
        <n v="-5.337139377331197"/>
        <n v="40.51945946384131"/>
        <n v="-235.3772675488564"/>
        <n v="64.34306107295976"/>
        <n v="74.66302395660736"/>
        <n v="7.736995011906026"/>
        <n v="-20.859674942411065"/>
        <n v="17.038566542190985"/>
        <n v="88.77578509796416"/>
        <n v="86.47463533609324"/>
        <n v="-128.45005879714378"/>
        <n v="32.97733609137513"/>
        <n v="-49.464715541916696"/>
        <n v="76.79468746669336"/>
        <n v="65.44586915185904"/>
        <n v="69.27213802565811"/>
        <n v="56.10141131241099"/>
        <n v="78.51453768968304"/>
        <n v="59.812404088409764"/>
        <n v="56.68060724775008"/>
        <n v="79.20450018761292"/>
        <n v="22.183559517557544"/>
        <n v="64.71498572723979"/>
        <n v="67.16906952387271"/>
        <n v="86.80721408064218"/>
        <n v="34.87669086825791"/>
        <n v="39.35098451104613"/>
        <n v="78.39200098905293"/>
        <n v="82.23401580876822"/>
        <n v="9.508688775834967"/>
        <n v="-318.7291476308576"/>
        <n v="32.927473673497"/>
        <n v="-53.46141745371222"/>
        <n v="71.9901983588296"/>
        <n v="74.23586691912362"/>
        <n v="21.009638149834508"/>
        <n v="-20.224225695440214"/>
        <n v="63.98538335807016"/>
        <n v="70.07713343912042"/>
        <n v="25.18395229804029"/>
        <n v="54.534047737491335"/>
        <n v="73.64943375085319"/>
        <n v="87.66353205626801"/>
        <n v="82.53126231540496"/>
        <n v="63.98151348408428"/>
        <n v="-57.46095485258705"/>
        <n v="-8.483955304882242"/>
        <n v="70.18733771974723"/>
        <n v="72.0991676141217"/>
        <n v="85.65442001519163"/>
        <n v="-32.38031666115401"/>
        <n v="-42.04920512679466"/>
        <n v="-307.6136861473758"/>
        <n v="-26.541236794665064"/>
        <n v="-243.8532136213507"/>
        <n v="69.44175170511203"/>
        <n v="-90.2564025659002"/>
        <n v="78.62931482938448"/>
        <n v="55.38321738129307"/>
        <n v="87.6660286779564"/>
        <n v="82.49521962698051"/>
        <n v="83.49211656092095"/>
        <n v="44.97775201101529"/>
        <n v="4.641815412489666"/>
        <n v="38.5526362227953"/>
        <n v="29.4281524458232"/>
        <n v="-118.44191270137784"/>
        <n v="38.97683037350706"/>
        <n v="75.48840663584336"/>
        <n v="83.40571051723778"/>
        <n v="78.02856514574414"/>
        <n v="62.26317315758625"/>
        <n v="-102.12560699488485"/>
        <n v="-245.95097014058322"/>
        <n v="73.05733860085172"/>
        <n v="15.194125201699215"/>
        <n v="71.32427235562776"/>
        <n v="40.58324140246535"/>
        <n v="83.77282593296155"/>
        <n v="75.7903673401313"/>
        <n v="-12.78343475728546"/>
        <n v="85.21496171415666"/>
        <n v="54.53780515950354"/>
        <n v="59.53641934495394"/>
        <n v="-147.89093208351528"/>
        <n v="37.22309920192005"/>
        <n v="-156.04962186238575"/>
        <n v="84.36931864094373"/>
        <n v="-103.05459838473008"/>
        <n v="27.478429841814116"/>
        <n v="72.94258511852398"/>
        <n v="14.112499352409907"/>
        <n v="93.86770042857412"/>
        <n v="60.71721481145765"/>
        <n v="-23.353121268262473"/>
        <n v="21.466787540873646"/>
        <n v="5.53425678613578"/>
        <n v="41.00175913513088"/>
        <n v="-41.02043872874504"/>
        <n v="-64.78009386909795"/>
        <n v="42.437203738661744"/>
        <n v="48.55671354457217"/>
        <n v="-96.15246114332619"/>
        <n v="88.08755693868888"/>
        <n v="59.338386152446766"/>
        <n v="-15.123503581842904"/>
        <n v="79.05046807672588"/>
        <n v="89.06329694606495"/>
        <n v="82.81273520055394"/>
        <n v="10.906834087758275"/>
        <n v="85.70538045761997"/>
        <n v="84.30424132275135"/>
        <n v="-214.09343838678484"/>
        <n v="59.588665501033766"/>
        <n v="28.06791254973845"/>
        <n v="54.10726650577139"/>
        <n v="-71.00301412568209"/>
        <n v="-74.0104750311053"/>
        <n v="7.722018515847175"/>
        <n v="69.18102234425005"/>
        <n v="-1.395180952796981"/>
        <n v="46.921507128715724"/>
        <n v="79.76918379772061"/>
        <n v="68.72285959129796"/>
        <n v="33.965240765329334"/>
        <n v="56.99702616860765"/>
        <n v="48.807260416606745"/>
        <n v="69.65530912973466"/>
        <n v="-50.10900078399637"/>
        <n v="46.74552276201265"/>
        <n v="-8.021339599912158"/>
        <n v="58.971301847311196"/>
        <n v="42.8773382286629"/>
        <n v="-46.36028329598905"/>
        <n v="69.78792368028117"/>
        <n v="57.70871311487558"/>
      </sharedItems>
    </cacheField>
    <cacheField name="Year" numFmtId="0">
      <sharedItems containsSemiMixedTypes="0" containsString="0" containsNumber="1" containsInteger="1">
        <n v="2025.0"/>
        <n v="2024.0"/>
      </sharedItems>
    </cacheField>
    <cacheField name="Month" numFmtId="0">
      <sharedItems containsSemiMixedTypes="0" containsString="0" containsNumber="1" containsInteger="1">
        <n v="5.0"/>
        <n v="1.0"/>
        <n v="4.0"/>
        <n v="3.0"/>
        <n v="2.0"/>
        <n v="12.0"/>
        <n v="6.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E1:F7" firstHeaderRow="0" firstDataRow="1" firstDataCol="0"/>
  <pivotFields>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Channel" axis="axisRow" compact="0" outline="0" multipleItemSelectionAllowed="1" showAll="0" sortType="ascending">
      <items>
        <item x="1"/>
        <item x="0"/>
        <item x="4"/>
        <item x="3"/>
        <item x="2"/>
        <item t="default"/>
      </items>
    </pivotField>
    <pivotField name="Region" compact="0" outline="0" multipleItemSelectionAllowed="1" showAll="0">
      <items>
        <item x="0"/>
        <item x="1"/>
        <item x="2"/>
        <item x="3"/>
        <item t="default"/>
      </items>
    </pivotField>
    <pivotField name="Budget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pend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Conver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RO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Year" compact="0" outline="0" multipleItemSelectionAllowed="1" showAll="0">
      <items>
        <item x="0"/>
        <item x="1"/>
        <item t="default"/>
      </items>
    </pivotField>
    <pivotField name="Month" compact="0" outline="0" multipleItemSelectionAllowed="1" showAll="0">
      <items>
        <item x="0"/>
        <item x="1"/>
        <item x="2"/>
        <item x="3"/>
        <item x="4"/>
        <item x="5"/>
        <item x="6"/>
        <item t="default"/>
      </items>
    </pivotField>
    <pivotField name="YearMonth" compact="0" outline="0" multipleItemSelectionAllowed="1" showAll="0">
      <items>
        <item x="0"/>
        <item x="1"/>
        <item x="2"/>
        <item x="3"/>
        <item x="4"/>
        <item x="5"/>
        <item x="6"/>
        <item t="default"/>
      </items>
    </pivotField>
  </pivotFields>
  <rowFields>
    <field x="2"/>
  </rowFields>
  <dataFields>
    <dataField name="SUM of Budget ($)" fld="4" baseField="0"/>
  </dataFields>
</pivotTableDefinition>
</file>

<file path=xl/pivotTables/pivotTable2.xml><?xml version="1.0" encoding="utf-8"?>
<pivotTableDefinition xmlns="http://schemas.openxmlformats.org/spreadsheetml/2006/main" name="Pivot Table 1 2" cacheId="1" dataCaption="" compact="0" compactData="0">
  <location ref="A9:C15" firstHeaderRow="0" firstDataRow="2" firstDataCol="0"/>
  <pivotFields>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Channel" axis="axisRow" compact="0" outline="0" multipleItemSelectionAllowed="1" showAll="0" sortType="ascending">
      <items>
        <item x="1"/>
        <item x="0"/>
        <item x="4"/>
        <item x="3"/>
        <item x="2"/>
        <item t="default"/>
      </items>
    </pivotField>
    <pivotField name="Region" compact="0" outline="0" multipleItemSelectionAllowed="1" showAll="0">
      <items>
        <item x="0"/>
        <item x="1"/>
        <item x="2"/>
        <item x="3"/>
        <item t="default"/>
      </items>
    </pivotField>
    <pivotField name="Budge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pend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Conver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T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ROA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Year" compact="0" outline="0" multipleItemSelectionAllowed="1" showAll="0">
      <items>
        <item x="0"/>
        <item x="1"/>
        <item t="default"/>
      </items>
    </pivotField>
    <pivotField name="Month" compact="0" outline="0" multipleItemSelectionAllowed="1" showAll="0">
      <items>
        <item x="0"/>
        <item x="1"/>
        <item x="2"/>
        <item x="3"/>
        <item x="4"/>
        <item x="5"/>
        <item x="6"/>
        <item t="default"/>
      </items>
    </pivotField>
  </pivotFields>
  <rowFields>
    <field x="2"/>
  </rowFields>
  <colFields>
    <field x="-2"/>
  </colFields>
  <dataFields>
    <dataField name="SUM of ROAS" fld="13" baseField="0"/>
    <dataField name="SUM of CTR" fld="10" baseField="0"/>
  </dataFields>
</pivotTableDefinition>
</file>

<file path=xl/pivotTables/pivotTable3.xml><?xml version="1.0" encoding="utf-8"?>
<pivotTableDefinition xmlns="http://schemas.openxmlformats.org/spreadsheetml/2006/main" name="Pivot Table 1 3" cacheId="0" dataCaption="" compact="0" compactData="0">
  <location ref="E14:G15" firstHeaderRow="0" firstDataRow="1" firstDataCol="0"/>
  <pivotFields>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Channel"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Budge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pend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Impres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lick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Conver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RO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Year" compact="0" outline="0" multipleItemSelectionAllowed="1" showAll="0">
      <items>
        <item x="0"/>
        <item x="1"/>
        <item t="default"/>
      </items>
    </pivotField>
    <pivotField name="Month" compact="0" outline="0" multipleItemSelectionAllowed="1" showAll="0">
      <items>
        <item x="0"/>
        <item x="1"/>
        <item x="2"/>
        <item x="3"/>
        <item x="4"/>
        <item x="5"/>
        <item x="6"/>
        <item t="default"/>
      </items>
    </pivotField>
    <pivotField name="YearMonth" compact="0" outline="0" multipleItemSelectionAllowed="1" showAll="0">
      <items>
        <item x="0"/>
        <item x="1"/>
        <item x="2"/>
        <item x="3"/>
        <item x="4"/>
        <item x="5"/>
        <item x="6"/>
        <item t="default"/>
      </items>
    </pivotField>
  </pivotFields>
  <colFields>
    <field x="-2"/>
  </colFields>
  <dataFields>
    <dataField name="SUM of Impressions" fld="6" baseField="0"/>
    <dataField name="SUM of Clicks" fld="7" baseField="0"/>
    <dataField name="SUM of Conversions" fld="8" baseField="0"/>
  </dataFields>
</pivotTableDefinition>
</file>

<file path=xl/pivotTables/pivotTable4.xml><?xml version="1.0" encoding="utf-8"?>
<pivotTableDefinition xmlns="http://schemas.openxmlformats.org/spreadsheetml/2006/main" name="Pivot Table 1 4" cacheId="1" dataCaption="" compact="0" compactData="0">
  <location ref="A17:C22" firstHeaderRow="0" firstDataRow="2" firstDataCol="0"/>
  <pivotFields>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Channel" compact="0" outline="0" multipleItemSelectionAllowed="1" showAll="0">
      <items>
        <item x="0"/>
        <item x="1"/>
        <item x="2"/>
        <item x="3"/>
        <item x="4"/>
        <item t="default"/>
      </items>
    </pivotField>
    <pivotField name="Region" axis="axisRow" compact="0" outline="0" multipleItemSelectionAllowed="1" showAll="0" sortType="ascending">
      <items>
        <item x="0"/>
        <item x="2"/>
        <item x="1"/>
        <item x="3"/>
        <item t="default"/>
      </items>
    </pivotField>
    <pivotField name="Budge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pend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Conver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RO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Year" compact="0" outline="0" multipleItemSelectionAllowed="1" showAll="0">
      <items>
        <item x="0"/>
        <item x="1"/>
        <item t="default"/>
      </items>
    </pivotField>
    <pivotField name="Month" compact="0" outline="0" multipleItemSelectionAllowed="1" showAll="0">
      <items>
        <item x="0"/>
        <item x="1"/>
        <item x="2"/>
        <item x="3"/>
        <item x="4"/>
        <item x="5"/>
        <item x="6"/>
        <item t="default"/>
      </items>
    </pivotField>
  </pivotFields>
  <rowFields>
    <field x="3"/>
  </rowFields>
  <colFields>
    <field x="-2"/>
  </colFields>
  <dataFields>
    <dataField name="SUM of Conversions" fld="8" baseField="0"/>
    <dataField name="SUM of Profit" fld="14" baseField="0"/>
  </dataFields>
</pivotTableDefinition>
</file>

<file path=xl/pivotTables/pivotTable5.xml><?xml version="1.0" encoding="utf-8"?>
<pivotTableDefinition xmlns="http://schemas.openxmlformats.org/spreadsheetml/2006/main" name="Pivot Table 1 5" cacheId="0" dataCaption="" compact="0" compactData="0">
  <location ref="E18:J19" firstHeaderRow="0" firstDataRow="1" firstDataCol="0"/>
  <pivotFields>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Channel"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Budge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pe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lick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Conver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Revenue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ROA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Year" compact="0" outline="0" multipleItemSelectionAllowed="1" showAll="0">
      <items>
        <item x="0"/>
        <item x="1"/>
        <item t="default"/>
      </items>
    </pivotField>
    <pivotField name="Month" compact="0" outline="0" multipleItemSelectionAllowed="1" showAll="0">
      <items>
        <item x="0"/>
        <item x="1"/>
        <item x="2"/>
        <item x="3"/>
        <item x="4"/>
        <item x="5"/>
        <item x="6"/>
        <item t="default"/>
      </items>
    </pivotField>
    <pivotField name="YearMonth" compact="0" outline="0" multipleItemSelectionAllowed="1" showAll="0">
      <items>
        <item x="0"/>
        <item x="1"/>
        <item x="2"/>
        <item x="3"/>
        <item x="4"/>
        <item x="5"/>
        <item x="6"/>
        <item t="default"/>
      </items>
    </pivotField>
  </pivotFields>
  <colFields>
    <field x="-2"/>
  </colFields>
  <dataFields>
    <dataField name="SUM of Spend ($)" fld="5" baseField="0"/>
    <dataField name="SUM of Revenue ($)" fld="9" baseField="0"/>
    <dataField name="SUM of Clicks" fld="7" baseField="0"/>
    <dataField name="AVERAGE of ROAS" fld="13" subtotal="average" baseField="0"/>
    <dataField name="SUM of Profit" fld="14" baseField="0"/>
    <dataField name="SUM of Conversions"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hannel">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hannel">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Region">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hannel_1" cache="SlicerCache_Table_2_Col_1" caption="Channel" rowHeight="247650"/>
  <x14:slicer name="Channel_2" cache="SlicerCache_Table_1_Col_1" caption="Channel" rowHeight="247650"/>
  <x14:slicer name="Region_3" cache="SlicerCache_Table_3_Col_1" caption="Region" rowHeight="247650"/>
</x14:slicers>
</file>

<file path=xl/tables/table1.xml><?xml version="1.0" encoding="utf-8"?>
<table xmlns="http://schemas.openxmlformats.org/spreadsheetml/2006/main" ref="E1:F7" displayName="Table_1" name="Table_1" id="1">
  <autoFilter ref="$E$1:$F$7"/>
  <tableColumns count="2">
    <tableColumn name="Channel" id="1"/>
    <tableColumn name="SUM of Budget ($)" id="2"/>
  </tableColumns>
  <tableStyleInfo showColumnStripes="0" showFirstColumn="0" showLastColumn="0" showRowStripes="0"/>
</table>
</file>

<file path=xl/tables/table2.xml><?xml version="1.0" encoding="utf-8"?>
<table xmlns="http://schemas.openxmlformats.org/spreadsheetml/2006/main" ref="J9:L15" displayName="Table_2" name="Table_2" id="2">
  <autoFilter ref="$J$9:$L$15"/>
  <tableColumns count="3">
    <tableColumn name="Channel" id="1"/>
    <tableColumn name="SUM of Revenue ($)" id="2"/>
    <tableColumn name="SUM of Profit" id="3"/>
  </tableColumns>
  <tableStyleInfo showColumnStripes="0" showFirstColumn="0" showLastColumn="0" showRowStripes="0"/>
</table>
</file>

<file path=xl/tables/table3.xml><?xml version="1.0" encoding="utf-8"?>
<table xmlns="http://schemas.openxmlformats.org/spreadsheetml/2006/main" ref="A17:C22" displayName="Table_3" name="Table_3" id="3">
  <autoFilter ref="$A$17:$C$22"/>
  <tableColumns count="3">
    <tableColumn name="Region" id="1"/>
    <tableColumn name="SUM of Conversions" id="2"/>
    <tableColumn name="SUM of Profit"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2.xml"/><Relationship Id="rId10" Type="http://schemas.openxmlformats.org/officeDocument/2006/relationships/table" Target="../tables/table1.xml"/><Relationship Id="rId12" Type="http://schemas.openxmlformats.org/officeDocument/2006/relationships/table" Target="../tables/table3.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0.88"/>
    <col customWidth="1" min="3" max="3" width="8.88"/>
    <col customWidth="1" min="4" max="9" width="8.63"/>
    <col customWidth="1" min="10" max="10" width="10.38"/>
    <col customWidth="1" min="11" max="18" width="8.63"/>
    <col customWidth="1" min="19" max="19" width="11.88"/>
    <col customWidth="1" min="20" max="26" width="8.63"/>
  </cols>
  <sheetData>
    <row r="1" ht="14.25" customHeight="1">
      <c r="A1" s="1" t="s">
        <v>0</v>
      </c>
      <c r="B1" s="2" t="s">
        <v>1</v>
      </c>
      <c r="C1" s="2" t="s">
        <v>2</v>
      </c>
      <c r="D1" s="2" t="s">
        <v>3</v>
      </c>
      <c r="E1" s="2" t="s">
        <v>4</v>
      </c>
      <c r="F1" s="2" t="s">
        <v>5</v>
      </c>
      <c r="G1" s="2" t="s">
        <v>6</v>
      </c>
      <c r="H1" s="2" t="s">
        <v>7</v>
      </c>
      <c r="I1" s="2" t="s">
        <v>8</v>
      </c>
      <c r="J1" s="3" t="s">
        <v>9</v>
      </c>
      <c r="K1" s="4" t="s">
        <v>10</v>
      </c>
      <c r="L1" s="5" t="s">
        <v>11</v>
      </c>
      <c r="M1" s="5" t="s">
        <v>12</v>
      </c>
      <c r="N1" s="5" t="s">
        <v>13</v>
      </c>
      <c r="O1" s="5" t="s">
        <v>14</v>
      </c>
      <c r="P1" s="5" t="s">
        <v>15</v>
      </c>
      <c r="Q1" s="5" t="s">
        <v>16</v>
      </c>
      <c r="R1" s="5" t="s">
        <v>17</v>
      </c>
      <c r="S1" s="6" t="s">
        <v>18</v>
      </c>
    </row>
    <row r="2" ht="14.25" customHeight="1">
      <c r="A2" s="7" t="s">
        <v>19</v>
      </c>
      <c r="B2" s="8">
        <v>45780.0</v>
      </c>
      <c r="C2" s="7" t="s">
        <v>20</v>
      </c>
      <c r="D2" s="7" t="s">
        <v>21</v>
      </c>
      <c r="E2" s="9">
        <v>5621.78</v>
      </c>
      <c r="F2" s="9">
        <v>6100.84</v>
      </c>
      <c r="G2" s="9">
        <v>120704.0</v>
      </c>
      <c r="H2" s="9">
        <v>5511.0</v>
      </c>
      <c r="I2" s="9">
        <v>1050.0</v>
      </c>
      <c r="J2" s="9">
        <v>44057.81</v>
      </c>
      <c r="K2" s="10">
        <f t="shared" ref="K2:K501" si="1">H2/G2</f>
        <v>0.04565714475</v>
      </c>
      <c r="L2" s="10">
        <f t="shared" ref="L2:L501" si="2">F2/H2</f>
        <v>1.107029577</v>
      </c>
      <c r="M2" s="10">
        <f t="shared" ref="M2:M501" si="3">F2/I2</f>
        <v>5.81032381</v>
      </c>
      <c r="N2" s="10">
        <f t="shared" ref="N2:N501" si="4">J2/F2</f>
        <v>7.221597354</v>
      </c>
      <c r="O2" s="10">
        <f t="shared" ref="O2:O501" si="5">J2-F2</f>
        <v>37956.97</v>
      </c>
      <c r="P2" s="10">
        <f t="shared" ref="P2:P501" si="6">(O2/J2)*100</f>
        <v>86.15264808</v>
      </c>
      <c r="Q2" s="10">
        <f t="shared" ref="Q2:Q501" si="7">YEAR(B2)</f>
        <v>2025</v>
      </c>
      <c r="R2" s="10">
        <f t="shared" ref="R2:R501" si="8">MONTH(B2)</f>
        <v>5</v>
      </c>
      <c r="S2" s="10" t="str">
        <f t="shared" ref="S2:S501" si="9">TEXT(B2,"YYYY-MM")</f>
        <v>2025-05</v>
      </c>
    </row>
    <row r="3" ht="14.25" customHeight="1">
      <c r="A3" s="7" t="s">
        <v>22</v>
      </c>
      <c r="B3" s="8">
        <v>45674.0</v>
      </c>
      <c r="C3" s="7" t="s">
        <v>23</v>
      </c>
      <c r="D3" s="7" t="s">
        <v>24</v>
      </c>
      <c r="E3" s="9">
        <v>7190.61</v>
      </c>
      <c r="F3" s="9">
        <v>6089.05</v>
      </c>
      <c r="G3" s="9">
        <v>64473.0</v>
      </c>
      <c r="H3" s="9">
        <v>1120.0</v>
      </c>
      <c r="I3" s="9">
        <v>72.0</v>
      </c>
      <c r="J3" s="9">
        <v>1776.95</v>
      </c>
      <c r="K3" s="10">
        <f t="shared" si="1"/>
        <v>0.01737161292</v>
      </c>
      <c r="L3" s="10">
        <f t="shared" si="2"/>
        <v>5.436651786</v>
      </c>
      <c r="M3" s="10">
        <f t="shared" si="3"/>
        <v>84.57013889</v>
      </c>
      <c r="N3" s="10">
        <f t="shared" si="4"/>
        <v>0.2918271323</v>
      </c>
      <c r="O3" s="10">
        <f t="shared" si="5"/>
        <v>-4312.1</v>
      </c>
      <c r="P3" s="10">
        <f t="shared" si="6"/>
        <v>-242.6686176</v>
      </c>
      <c r="Q3" s="10">
        <f t="shared" si="7"/>
        <v>2025</v>
      </c>
      <c r="R3" s="10">
        <f t="shared" si="8"/>
        <v>1</v>
      </c>
      <c r="S3" s="10" t="str">
        <f t="shared" si="9"/>
        <v>2025-01</v>
      </c>
    </row>
    <row r="4" ht="14.25" customHeight="1">
      <c r="A4" s="7" t="s">
        <v>25</v>
      </c>
      <c r="B4" s="8">
        <v>45751.0</v>
      </c>
      <c r="C4" s="7" t="s">
        <v>23</v>
      </c>
      <c r="D4" s="7" t="s">
        <v>26</v>
      </c>
      <c r="E4" s="9">
        <v>3406.59</v>
      </c>
      <c r="F4" s="9">
        <v>3610.48</v>
      </c>
      <c r="G4" s="9">
        <v>113908.0</v>
      </c>
      <c r="H4" s="9">
        <v>5345.0</v>
      </c>
      <c r="I4" s="9">
        <v>1004.0</v>
      </c>
      <c r="J4" s="9">
        <v>38185.58</v>
      </c>
      <c r="K4" s="10">
        <f t="shared" si="1"/>
        <v>0.04692383327</v>
      </c>
      <c r="L4" s="10">
        <f t="shared" si="2"/>
        <v>0.6754873714</v>
      </c>
      <c r="M4" s="10">
        <f t="shared" si="3"/>
        <v>3.596095618</v>
      </c>
      <c r="N4" s="10">
        <f t="shared" si="4"/>
        <v>10.57631672</v>
      </c>
      <c r="O4" s="10">
        <f t="shared" si="5"/>
        <v>34575.1</v>
      </c>
      <c r="P4" s="10">
        <f t="shared" si="6"/>
        <v>90.5449125</v>
      </c>
      <c r="Q4" s="10">
        <f t="shared" si="7"/>
        <v>2025</v>
      </c>
      <c r="R4" s="10">
        <f t="shared" si="8"/>
        <v>4</v>
      </c>
      <c r="S4" s="10" t="str">
        <f t="shared" si="9"/>
        <v>2025-04</v>
      </c>
    </row>
    <row r="5" ht="14.25" customHeight="1">
      <c r="A5" s="7" t="s">
        <v>27</v>
      </c>
      <c r="B5" s="8">
        <v>45807.0</v>
      </c>
      <c r="C5" s="7" t="s">
        <v>28</v>
      </c>
      <c r="D5" s="7" t="s">
        <v>29</v>
      </c>
      <c r="E5" s="9">
        <v>7956.51</v>
      </c>
      <c r="F5" s="9">
        <v>6414.34</v>
      </c>
      <c r="G5" s="9">
        <v>91921.0</v>
      </c>
      <c r="H5" s="9">
        <v>3787.0</v>
      </c>
      <c r="I5" s="9">
        <v>329.0</v>
      </c>
      <c r="J5" s="9">
        <v>16153.01</v>
      </c>
      <c r="K5" s="10">
        <f t="shared" si="1"/>
        <v>0.04119842038</v>
      </c>
      <c r="L5" s="10">
        <f t="shared" si="2"/>
        <v>1.693778717</v>
      </c>
      <c r="M5" s="10">
        <f t="shared" si="3"/>
        <v>19.49647416</v>
      </c>
      <c r="N5" s="10">
        <f t="shared" si="4"/>
        <v>2.518265324</v>
      </c>
      <c r="O5" s="10">
        <f t="shared" si="5"/>
        <v>9738.67</v>
      </c>
      <c r="P5" s="10">
        <f t="shared" si="6"/>
        <v>60.29012549</v>
      </c>
      <c r="Q5" s="10">
        <f t="shared" si="7"/>
        <v>2025</v>
      </c>
      <c r="R5" s="10">
        <f t="shared" si="8"/>
        <v>5</v>
      </c>
      <c r="S5" s="10" t="str">
        <f t="shared" si="9"/>
        <v>2025-05</v>
      </c>
    </row>
    <row r="6" ht="14.25" customHeight="1">
      <c r="A6" s="7" t="s">
        <v>30</v>
      </c>
      <c r="B6" s="8">
        <v>45791.0</v>
      </c>
      <c r="C6" s="7" t="s">
        <v>31</v>
      </c>
      <c r="D6" s="7" t="s">
        <v>21</v>
      </c>
      <c r="E6" s="9">
        <v>8827.1</v>
      </c>
      <c r="F6" s="9">
        <v>7623.98</v>
      </c>
      <c r="G6" s="9">
        <v>191026.0</v>
      </c>
      <c r="H6" s="9">
        <v>8786.0</v>
      </c>
      <c r="I6" s="9">
        <v>423.0</v>
      </c>
      <c r="J6" s="9">
        <v>10767.36</v>
      </c>
      <c r="K6" s="10">
        <f t="shared" si="1"/>
        <v>0.04599373907</v>
      </c>
      <c r="L6" s="10">
        <f t="shared" si="2"/>
        <v>0.8677418621</v>
      </c>
      <c r="M6" s="10">
        <f t="shared" si="3"/>
        <v>18.02359338</v>
      </c>
      <c r="N6" s="10">
        <f t="shared" si="4"/>
        <v>1.412301711</v>
      </c>
      <c r="O6" s="10">
        <f t="shared" si="5"/>
        <v>3143.38</v>
      </c>
      <c r="P6" s="10">
        <f t="shared" si="6"/>
        <v>29.19359992</v>
      </c>
      <c r="Q6" s="10">
        <f t="shared" si="7"/>
        <v>2025</v>
      </c>
      <c r="R6" s="10">
        <f t="shared" si="8"/>
        <v>5</v>
      </c>
      <c r="S6" s="10" t="str">
        <f t="shared" si="9"/>
        <v>2025-05</v>
      </c>
    </row>
    <row r="7" ht="14.25" customHeight="1">
      <c r="A7" s="7" t="s">
        <v>32</v>
      </c>
      <c r="B7" s="8">
        <v>45764.0</v>
      </c>
      <c r="C7" s="7" t="s">
        <v>33</v>
      </c>
      <c r="D7" s="7" t="s">
        <v>24</v>
      </c>
      <c r="E7" s="9">
        <v>4283.83</v>
      </c>
      <c r="F7" s="9">
        <v>3818.06</v>
      </c>
      <c r="G7" s="9">
        <v>127588.0</v>
      </c>
      <c r="H7" s="9">
        <v>5087.0</v>
      </c>
      <c r="I7" s="9">
        <v>842.0</v>
      </c>
      <c r="J7" s="9">
        <v>30095.35</v>
      </c>
      <c r="K7" s="10">
        <f t="shared" si="1"/>
        <v>0.03987052074</v>
      </c>
      <c r="L7" s="10">
        <f t="shared" si="2"/>
        <v>0.7505523884</v>
      </c>
      <c r="M7" s="10">
        <f t="shared" si="3"/>
        <v>4.534513064</v>
      </c>
      <c r="N7" s="10">
        <f t="shared" si="4"/>
        <v>7.882366961</v>
      </c>
      <c r="O7" s="10">
        <f t="shared" si="5"/>
        <v>26277.29</v>
      </c>
      <c r="P7" s="10">
        <f t="shared" si="6"/>
        <v>87.3134554</v>
      </c>
      <c r="Q7" s="10">
        <f t="shared" si="7"/>
        <v>2025</v>
      </c>
      <c r="R7" s="10">
        <f t="shared" si="8"/>
        <v>4</v>
      </c>
      <c r="S7" s="10" t="str">
        <f t="shared" si="9"/>
        <v>2025-04</v>
      </c>
    </row>
    <row r="8" ht="14.25" customHeight="1">
      <c r="A8" s="7" t="s">
        <v>34</v>
      </c>
      <c r="B8" s="8">
        <v>45746.0</v>
      </c>
      <c r="C8" s="7" t="s">
        <v>28</v>
      </c>
      <c r="D8" s="7" t="s">
        <v>26</v>
      </c>
      <c r="E8" s="9">
        <v>6023.62</v>
      </c>
      <c r="F8" s="9">
        <v>5345.17</v>
      </c>
      <c r="G8" s="9">
        <v>72336.0</v>
      </c>
      <c r="H8" s="9">
        <v>1340.0</v>
      </c>
      <c r="I8" s="9">
        <v>236.0</v>
      </c>
      <c r="J8" s="9">
        <v>9051.92</v>
      </c>
      <c r="K8" s="10">
        <f t="shared" si="1"/>
        <v>0.01852466269</v>
      </c>
      <c r="L8" s="10">
        <f t="shared" si="2"/>
        <v>3.988932836</v>
      </c>
      <c r="M8" s="10">
        <f t="shared" si="3"/>
        <v>22.64902542</v>
      </c>
      <c r="N8" s="10">
        <f t="shared" si="4"/>
        <v>1.693476541</v>
      </c>
      <c r="O8" s="10">
        <f t="shared" si="5"/>
        <v>3706.75</v>
      </c>
      <c r="P8" s="10">
        <f t="shared" si="6"/>
        <v>40.94987583</v>
      </c>
      <c r="Q8" s="10">
        <f t="shared" si="7"/>
        <v>2025</v>
      </c>
      <c r="R8" s="10">
        <f t="shared" si="8"/>
        <v>3</v>
      </c>
      <c r="S8" s="10" t="str">
        <f t="shared" si="9"/>
        <v>2025-03</v>
      </c>
    </row>
    <row r="9" ht="14.25" customHeight="1">
      <c r="A9" s="7" t="s">
        <v>35</v>
      </c>
      <c r="B9" s="8">
        <v>45756.0</v>
      </c>
      <c r="C9" s="7" t="s">
        <v>23</v>
      </c>
      <c r="D9" s="7" t="s">
        <v>24</v>
      </c>
      <c r="E9" s="9">
        <v>3976.46</v>
      </c>
      <c r="F9" s="9">
        <v>3529.68</v>
      </c>
      <c r="G9" s="9">
        <v>64153.0</v>
      </c>
      <c r="H9" s="9">
        <v>2806.0</v>
      </c>
      <c r="I9" s="9">
        <v>283.0</v>
      </c>
      <c r="J9" s="9">
        <v>8770.41</v>
      </c>
      <c r="K9" s="10">
        <f t="shared" si="1"/>
        <v>0.04373918601</v>
      </c>
      <c r="L9" s="10">
        <f t="shared" si="2"/>
        <v>1.25790449</v>
      </c>
      <c r="M9" s="10">
        <f t="shared" si="3"/>
        <v>12.47236749</v>
      </c>
      <c r="N9" s="10">
        <f t="shared" si="4"/>
        <v>2.484760658</v>
      </c>
      <c r="O9" s="10">
        <f t="shared" si="5"/>
        <v>5240.73</v>
      </c>
      <c r="P9" s="10">
        <f t="shared" si="6"/>
        <v>59.7546751</v>
      </c>
      <c r="Q9" s="10">
        <f t="shared" si="7"/>
        <v>2025</v>
      </c>
      <c r="R9" s="10">
        <f t="shared" si="8"/>
        <v>4</v>
      </c>
      <c r="S9" s="10" t="str">
        <f t="shared" si="9"/>
        <v>2025-04</v>
      </c>
    </row>
    <row r="10" ht="14.25" customHeight="1">
      <c r="A10" s="7" t="s">
        <v>36</v>
      </c>
      <c r="B10" s="8">
        <v>45690.0</v>
      </c>
      <c r="C10" s="7" t="s">
        <v>28</v>
      </c>
      <c r="D10" s="7" t="s">
        <v>29</v>
      </c>
      <c r="E10" s="9">
        <v>6192.49</v>
      </c>
      <c r="F10" s="9">
        <v>6412.65</v>
      </c>
      <c r="G10" s="9">
        <v>53911.0</v>
      </c>
      <c r="H10" s="9">
        <v>2127.0</v>
      </c>
      <c r="I10" s="9">
        <v>315.0</v>
      </c>
      <c r="J10" s="9">
        <v>8186.92</v>
      </c>
      <c r="K10" s="10">
        <f t="shared" si="1"/>
        <v>0.03945391479</v>
      </c>
      <c r="L10" s="10">
        <f t="shared" si="2"/>
        <v>3.014880113</v>
      </c>
      <c r="M10" s="10">
        <f t="shared" si="3"/>
        <v>20.35761905</v>
      </c>
      <c r="N10" s="10">
        <f t="shared" si="4"/>
        <v>1.276682807</v>
      </c>
      <c r="O10" s="10">
        <f t="shared" si="5"/>
        <v>1774.27</v>
      </c>
      <c r="P10" s="10">
        <f t="shared" si="6"/>
        <v>21.67200852</v>
      </c>
      <c r="Q10" s="10">
        <f t="shared" si="7"/>
        <v>2025</v>
      </c>
      <c r="R10" s="10">
        <f t="shared" si="8"/>
        <v>2</v>
      </c>
      <c r="S10" s="10" t="str">
        <f t="shared" si="9"/>
        <v>2025-02</v>
      </c>
    </row>
    <row r="11" ht="14.25" customHeight="1">
      <c r="A11" s="7" t="s">
        <v>37</v>
      </c>
      <c r="B11" s="8">
        <v>45751.0</v>
      </c>
      <c r="C11" s="7" t="s">
        <v>28</v>
      </c>
      <c r="D11" s="7" t="s">
        <v>24</v>
      </c>
      <c r="E11" s="9">
        <v>6599.64</v>
      </c>
      <c r="F11" s="9">
        <v>6452.63</v>
      </c>
      <c r="G11" s="9">
        <v>185980.0</v>
      </c>
      <c r="H11" s="9">
        <v>5168.0</v>
      </c>
      <c r="I11" s="9">
        <v>68.0</v>
      </c>
      <c r="J11" s="9">
        <v>1454.76</v>
      </c>
      <c r="K11" s="10">
        <f t="shared" si="1"/>
        <v>0.02778793419</v>
      </c>
      <c r="L11" s="10">
        <f t="shared" si="2"/>
        <v>1.248573916</v>
      </c>
      <c r="M11" s="10">
        <f t="shared" si="3"/>
        <v>94.89161765</v>
      </c>
      <c r="N11" s="10">
        <f t="shared" si="4"/>
        <v>0.2254522575</v>
      </c>
      <c r="O11" s="10">
        <f t="shared" si="5"/>
        <v>-4997.87</v>
      </c>
      <c r="P11" s="10">
        <f t="shared" si="6"/>
        <v>-343.5528884</v>
      </c>
      <c r="Q11" s="10">
        <f t="shared" si="7"/>
        <v>2025</v>
      </c>
      <c r="R11" s="10">
        <f t="shared" si="8"/>
        <v>4</v>
      </c>
      <c r="S11" s="10" t="str">
        <f t="shared" si="9"/>
        <v>2025-04</v>
      </c>
    </row>
    <row r="12" ht="14.25" customHeight="1">
      <c r="A12" s="7" t="s">
        <v>38</v>
      </c>
      <c r="B12" s="8">
        <v>45744.0</v>
      </c>
      <c r="C12" s="7" t="s">
        <v>28</v>
      </c>
      <c r="D12" s="7" t="s">
        <v>26</v>
      </c>
      <c r="E12" s="9">
        <v>7252.81</v>
      </c>
      <c r="F12" s="9">
        <v>6173.28</v>
      </c>
      <c r="G12" s="9">
        <v>195024.0</v>
      </c>
      <c r="H12" s="9">
        <v>9701.0</v>
      </c>
      <c r="I12" s="9">
        <v>801.0</v>
      </c>
      <c r="J12" s="9">
        <v>17583.19</v>
      </c>
      <c r="K12" s="10">
        <f t="shared" si="1"/>
        <v>0.04974259578</v>
      </c>
      <c r="L12" s="10">
        <f t="shared" si="2"/>
        <v>0.6363550149</v>
      </c>
      <c r="M12" s="10">
        <f t="shared" si="3"/>
        <v>7.706966292</v>
      </c>
      <c r="N12" s="10">
        <f t="shared" si="4"/>
        <v>2.848273527</v>
      </c>
      <c r="O12" s="10">
        <f t="shared" si="5"/>
        <v>11409.91</v>
      </c>
      <c r="P12" s="10">
        <f t="shared" si="6"/>
        <v>64.89101238</v>
      </c>
      <c r="Q12" s="10">
        <f t="shared" si="7"/>
        <v>2025</v>
      </c>
      <c r="R12" s="10">
        <f t="shared" si="8"/>
        <v>3</v>
      </c>
      <c r="S12" s="10" t="str">
        <f t="shared" si="9"/>
        <v>2025-03</v>
      </c>
    </row>
    <row r="13" ht="14.25" customHeight="1">
      <c r="A13" s="7" t="s">
        <v>39</v>
      </c>
      <c r="B13" s="8">
        <v>45754.0</v>
      </c>
      <c r="C13" s="7" t="s">
        <v>33</v>
      </c>
      <c r="D13" s="7" t="s">
        <v>24</v>
      </c>
      <c r="E13" s="9">
        <v>9642.2</v>
      </c>
      <c r="F13" s="9">
        <v>10507.01</v>
      </c>
      <c r="G13" s="9">
        <v>54909.0</v>
      </c>
      <c r="H13" s="9">
        <v>2182.0</v>
      </c>
      <c r="I13" s="9">
        <v>153.0</v>
      </c>
      <c r="J13" s="9">
        <v>6770.54</v>
      </c>
      <c r="K13" s="10">
        <f t="shared" si="1"/>
        <v>0.03973847639</v>
      </c>
      <c r="L13" s="10">
        <f t="shared" si="2"/>
        <v>4.815311641</v>
      </c>
      <c r="M13" s="10">
        <f t="shared" si="3"/>
        <v>68.67326797</v>
      </c>
      <c r="N13" s="10">
        <f t="shared" si="4"/>
        <v>0.6443831309</v>
      </c>
      <c r="O13" s="10">
        <f t="shared" si="5"/>
        <v>-3736.47</v>
      </c>
      <c r="P13" s="10">
        <f t="shared" si="6"/>
        <v>-55.18717857</v>
      </c>
      <c r="Q13" s="10">
        <f t="shared" si="7"/>
        <v>2025</v>
      </c>
      <c r="R13" s="10">
        <f t="shared" si="8"/>
        <v>4</v>
      </c>
      <c r="S13" s="10" t="str">
        <f t="shared" si="9"/>
        <v>2025-04</v>
      </c>
    </row>
    <row r="14" ht="14.25" customHeight="1">
      <c r="A14" s="7" t="s">
        <v>40</v>
      </c>
      <c r="B14" s="8">
        <v>45805.0</v>
      </c>
      <c r="C14" s="7" t="s">
        <v>31</v>
      </c>
      <c r="D14" s="7" t="s">
        <v>29</v>
      </c>
      <c r="E14" s="9">
        <v>5132.3</v>
      </c>
      <c r="F14" s="9">
        <v>4256.22</v>
      </c>
      <c r="G14" s="9">
        <v>69520.0</v>
      </c>
      <c r="H14" s="9">
        <v>1141.0</v>
      </c>
      <c r="I14" s="9">
        <v>134.0</v>
      </c>
      <c r="J14" s="9">
        <v>5430.62</v>
      </c>
      <c r="K14" s="10">
        <f t="shared" si="1"/>
        <v>0.01641254315</v>
      </c>
      <c r="L14" s="10">
        <f t="shared" si="2"/>
        <v>3.730254163</v>
      </c>
      <c r="M14" s="10">
        <f t="shared" si="3"/>
        <v>31.76283582</v>
      </c>
      <c r="N14" s="10">
        <f t="shared" si="4"/>
        <v>1.275925587</v>
      </c>
      <c r="O14" s="10">
        <f t="shared" si="5"/>
        <v>1174.4</v>
      </c>
      <c r="P14" s="10">
        <f t="shared" si="6"/>
        <v>21.62552342</v>
      </c>
      <c r="Q14" s="10">
        <f t="shared" si="7"/>
        <v>2025</v>
      </c>
      <c r="R14" s="10">
        <f t="shared" si="8"/>
        <v>5</v>
      </c>
      <c r="S14" s="10" t="str">
        <f t="shared" si="9"/>
        <v>2025-05</v>
      </c>
    </row>
    <row r="15" ht="14.25" customHeight="1">
      <c r="A15" s="7" t="s">
        <v>41</v>
      </c>
      <c r="B15" s="8">
        <v>45672.0</v>
      </c>
      <c r="C15" s="7" t="s">
        <v>31</v>
      </c>
      <c r="D15" s="7" t="s">
        <v>21</v>
      </c>
      <c r="E15" s="9">
        <v>6081.07</v>
      </c>
      <c r="F15" s="9">
        <v>5087.49</v>
      </c>
      <c r="G15" s="9">
        <v>126413.0</v>
      </c>
      <c r="H15" s="9">
        <v>3059.0</v>
      </c>
      <c r="I15" s="9">
        <v>58.0</v>
      </c>
      <c r="J15" s="9">
        <v>2021.61</v>
      </c>
      <c r="K15" s="10">
        <f t="shared" si="1"/>
        <v>0.0241984606</v>
      </c>
      <c r="L15" s="10">
        <f t="shared" si="2"/>
        <v>1.663121935</v>
      </c>
      <c r="M15" s="10">
        <f t="shared" si="3"/>
        <v>87.71534483</v>
      </c>
      <c r="N15" s="10">
        <f t="shared" si="4"/>
        <v>0.39736884</v>
      </c>
      <c r="O15" s="10">
        <f t="shared" si="5"/>
        <v>-3065.88</v>
      </c>
      <c r="P15" s="10">
        <f t="shared" si="6"/>
        <v>-151.6553638</v>
      </c>
      <c r="Q15" s="10">
        <f t="shared" si="7"/>
        <v>2025</v>
      </c>
      <c r="R15" s="10">
        <f t="shared" si="8"/>
        <v>1</v>
      </c>
      <c r="S15" s="10" t="str">
        <f t="shared" si="9"/>
        <v>2025-01</v>
      </c>
    </row>
    <row r="16" ht="14.25" customHeight="1">
      <c r="A16" s="7" t="s">
        <v>42</v>
      </c>
      <c r="B16" s="8">
        <v>45646.0</v>
      </c>
      <c r="C16" s="7" t="s">
        <v>20</v>
      </c>
      <c r="D16" s="7" t="s">
        <v>21</v>
      </c>
      <c r="E16" s="9">
        <v>3240.72</v>
      </c>
      <c r="F16" s="9">
        <v>3476.63</v>
      </c>
      <c r="G16" s="9">
        <v>76429.0</v>
      </c>
      <c r="H16" s="9">
        <v>2090.0</v>
      </c>
      <c r="I16" s="9">
        <v>69.0</v>
      </c>
      <c r="J16" s="9">
        <v>1915.67</v>
      </c>
      <c r="K16" s="10">
        <f t="shared" si="1"/>
        <v>0.02734564105</v>
      </c>
      <c r="L16" s="10">
        <f t="shared" si="2"/>
        <v>1.66345933</v>
      </c>
      <c r="M16" s="10">
        <f t="shared" si="3"/>
        <v>50.38594203</v>
      </c>
      <c r="N16" s="10">
        <f t="shared" si="4"/>
        <v>0.5510134814</v>
      </c>
      <c r="O16" s="10">
        <f t="shared" si="5"/>
        <v>-1560.96</v>
      </c>
      <c r="P16" s="10">
        <f t="shared" si="6"/>
        <v>-81.48376286</v>
      </c>
      <c r="Q16" s="10">
        <f t="shared" si="7"/>
        <v>2024</v>
      </c>
      <c r="R16" s="10">
        <f t="shared" si="8"/>
        <v>12</v>
      </c>
      <c r="S16" s="10" t="str">
        <f t="shared" si="9"/>
        <v>2024-12</v>
      </c>
    </row>
    <row r="17" ht="14.25" customHeight="1">
      <c r="A17" s="7" t="s">
        <v>43</v>
      </c>
      <c r="B17" s="8">
        <v>45691.0</v>
      </c>
      <c r="C17" s="7" t="s">
        <v>20</v>
      </c>
      <c r="D17" s="7" t="s">
        <v>29</v>
      </c>
      <c r="E17" s="9">
        <v>7637.66</v>
      </c>
      <c r="F17" s="9">
        <v>6824.35</v>
      </c>
      <c r="G17" s="9">
        <v>59367.0</v>
      </c>
      <c r="H17" s="9">
        <v>1348.0</v>
      </c>
      <c r="I17" s="9">
        <v>152.0</v>
      </c>
      <c r="J17" s="9">
        <v>5411.51</v>
      </c>
      <c r="K17" s="10">
        <f t="shared" si="1"/>
        <v>0.02270621726</v>
      </c>
      <c r="L17" s="10">
        <f t="shared" si="2"/>
        <v>5.062574184</v>
      </c>
      <c r="M17" s="10">
        <f t="shared" si="3"/>
        <v>44.89703947</v>
      </c>
      <c r="N17" s="10">
        <f t="shared" si="4"/>
        <v>0.7929707591</v>
      </c>
      <c r="O17" s="10">
        <f t="shared" si="5"/>
        <v>-1412.84</v>
      </c>
      <c r="P17" s="10">
        <f t="shared" si="6"/>
        <v>-26.10805487</v>
      </c>
      <c r="Q17" s="10">
        <f t="shared" si="7"/>
        <v>2025</v>
      </c>
      <c r="R17" s="10">
        <f t="shared" si="8"/>
        <v>2</v>
      </c>
      <c r="S17" s="10" t="str">
        <f t="shared" si="9"/>
        <v>2025-02</v>
      </c>
    </row>
    <row r="18" ht="14.25" customHeight="1">
      <c r="A18" s="7" t="s">
        <v>44</v>
      </c>
      <c r="B18" s="8">
        <v>45725.0</v>
      </c>
      <c r="C18" s="7" t="s">
        <v>23</v>
      </c>
      <c r="D18" s="7" t="s">
        <v>29</v>
      </c>
      <c r="E18" s="9">
        <v>6826.97</v>
      </c>
      <c r="F18" s="9">
        <v>5840.17</v>
      </c>
      <c r="G18" s="9">
        <v>186370.0</v>
      </c>
      <c r="H18" s="9">
        <v>9073.0</v>
      </c>
      <c r="I18" s="9">
        <v>1366.0</v>
      </c>
      <c r="J18" s="9">
        <v>67053.58</v>
      </c>
      <c r="K18" s="10">
        <f t="shared" si="1"/>
        <v>0.04868272791</v>
      </c>
      <c r="L18" s="10">
        <f t="shared" si="2"/>
        <v>0.6436867629</v>
      </c>
      <c r="M18" s="10">
        <f t="shared" si="3"/>
        <v>4.275380673</v>
      </c>
      <c r="N18" s="10">
        <f t="shared" si="4"/>
        <v>11.48144318</v>
      </c>
      <c r="O18" s="10">
        <f t="shared" si="5"/>
        <v>61213.41</v>
      </c>
      <c r="P18" s="10">
        <f t="shared" si="6"/>
        <v>91.29029352</v>
      </c>
      <c r="Q18" s="10">
        <f t="shared" si="7"/>
        <v>2025</v>
      </c>
      <c r="R18" s="10">
        <f t="shared" si="8"/>
        <v>3</v>
      </c>
      <c r="S18" s="10" t="str">
        <f t="shared" si="9"/>
        <v>2025-03</v>
      </c>
    </row>
    <row r="19" ht="14.25" customHeight="1">
      <c r="A19" s="7" t="s">
        <v>45</v>
      </c>
      <c r="B19" s="8">
        <v>45791.0</v>
      </c>
      <c r="C19" s="7" t="s">
        <v>33</v>
      </c>
      <c r="D19" s="7" t="s">
        <v>29</v>
      </c>
      <c r="E19" s="9">
        <v>8425.93</v>
      </c>
      <c r="F19" s="9">
        <v>9115.59</v>
      </c>
      <c r="G19" s="9">
        <v>177209.0</v>
      </c>
      <c r="H19" s="9">
        <v>2628.0</v>
      </c>
      <c r="I19" s="9">
        <v>342.0</v>
      </c>
      <c r="J19" s="9">
        <v>16020.93</v>
      </c>
      <c r="K19" s="10">
        <f t="shared" si="1"/>
        <v>0.01482994656</v>
      </c>
      <c r="L19" s="10">
        <f t="shared" si="2"/>
        <v>3.468641553</v>
      </c>
      <c r="M19" s="10">
        <f t="shared" si="3"/>
        <v>26.65377193</v>
      </c>
      <c r="N19" s="10">
        <f t="shared" si="4"/>
        <v>1.75753078</v>
      </c>
      <c r="O19" s="10">
        <f t="shared" si="5"/>
        <v>6905.34</v>
      </c>
      <c r="P19" s="10">
        <f t="shared" si="6"/>
        <v>43.10199221</v>
      </c>
      <c r="Q19" s="10">
        <f t="shared" si="7"/>
        <v>2025</v>
      </c>
      <c r="R19" s="10">
        <f t="shared" si="8"/>
        <v>5</v>
      </c>
      <c r="S19" s="10" t="str">
        <f t="shared" si="9"/>
        <v>2025-05</v>
      </c>
    </row>
    <row r="20" ht="14.25" customHeight="1">
      <c r="A20" s="7" t="s">
        <v>46</v>
      </c>
      <c r="B20" s="8">
        <v>45803.0</v>
      </c>
      <c r="C20" s="7" t="s">
        <v>20</v>
      </c>
      <c r="D20" s="7" t="s">
        <v>24</v>
      </c>
      <c r="E20" s="9">
        <v>7185.3</v>
      </c>
      <c r="F20" s="9">
        <v>7735.42</v>
      </c>
      <c r="G20" s="9">
        <v>113245.0</v>
      </c>
      <c r="H20" s="9">
        <v>4048.0</v>
      </c>
      <c r="I20" s="9">
        <v>620.0</v>
      </c>
      <c r="J20" s="9">
        <v>14045.96</v>
      </c>
      <c r="K20" s="10">
        <f t="shared" si="1"/>
        <v>0.03574550753</v>
      </c>
      <c r="L20" s="10">
        <f t="shared" si="2"/>
        <v>1.910923913</v>
      </c>
      <c r="M20" s="10">
        <f t="shared" si="3"/>
        <v>12.47648387</v>
      </c>
      <c r="N20" s="10">
        <f t="shared" si="4"/>
        <v>1.815797979</v>
      </c>
      <c r="O20" s="10">
        <f t="shared" si="5"/>
        <v>6310.54</v>
      </c>
      <c r="P20" s="10">
        <f t="shared" si="6"/>
        <v>44.92779418</v>
      </c>
      <c r="Q20" s="10">
        <f t="shared" si="7"/>
        <v>2025</v>
      </c>
      <c r="R20" s="10">
        <f t="shared" si="8"/>
        <v>5</v>
      </c>
      <c r="S20" s="10" t="str">
        <f t="shared" si="9"/>
        <v>2025-05</v>
      </c>
    </row>
    <row r="21" ht="14.25" customHeight="1">
      <c r="A21" s="7" t="s">
        <v>47</v>
      </c>
      <c r="B21" s="8">
        <v>45669.0</v>
      </c>
      <c r="C21" s="7" t="s">
        <v>20</v>
      </c>
      <c r="D21" s="7" t="s">
        <v>26</v>
      </c>
      <c r="E21" s="9">
        <v>4371.88</v>
      </c>
      <c r="F21" s="9">
        <v>3556.82</v>
      </c>
      <c r="G21" s="9">
        <v>134800.0</v>
      </c>
      <c r="H21" s="9">
        <v>4917.0</v>
      </c>
      <c r="I21" s="9">
        <v>128.0</v>
      </c>
      <c r="J21" s="9">
        <v>3809.27</v>
      </c>
      <c r="K21" s="10">
        <f t="shared" si="1"/>
        <v>0.03647626113</v>
      </c>
      <c r="L21" s="10">
        <f t="shared" si="2"/>
        <v>0.7233719748</v>
      </c>
      <c r="M21" s="10">
        <f t="shared" si="3"/>
        <v>27.78765625</v>
      </c>
      <c r="N21" s="10">
        <f t="shared" si="4"/>
        <v>1.070976322</v>
      </c>
      <c r="O21" s="10">
        <f t="shared" si="5"/>
        <v>252.45</v>
      </c>
      <c r="P21" s="10">
        <f t="shared" si="6"/>
        <v>6.627254041</v>
      </c>
      <c r="Q21" s="10">
        <f t="shared" si="7"/>
        <v>2025</v>
      </c>
      <c r="R21" s="10">
        <f t="shared" si="8"/>
        <v>1</v>
      </c>
      <c r="S21" s="10" t="str">
        <f t="shared" si="9"/>
        <v>2025-01</v>
      </c>
    </row>
    <row r="22" ht="14.25" customHeight="1">
      <c r="A22" s="7" t="s">
        <v>48</v>
      </c>
      <c r="B22" s="8">
        <v>45814.0</v>
      </c>
      <c r="C22" s="7" t="s">
        <v>20</v>
      </c>
      <c r="D22" s="7" t="s">
        <v>21</v>
      </c>
      <c r="E22" s="9">
        <v>5720.74</v>
      </c>
      <c r="F22" s="9">
        <v>5042.29</v>
      </c>
      <c r="G22" s="9">
        <v>128160.0</v>
      </c>
      <c r="H22" s="9">
        <v>1491.0</v>
      </c>
      <c r="I22" s="9">
        <v>279.0</v>
      </c>
      <c r="J22" s="9">
        <v>12516.53</v>
      </c>
      <c r="K22" s="10">
        <f t="shared" si="1"/>
        <v>0.01163389513</v>
      </c>
      <c r="L22" s="10">
        <f t="shared" si="2"/>
        <v>3.381817572</v>
      </c>
      <c r="M22" s="10">
        <f t="shared" si="3"/>
        <v>18.07272401</v>
      </c>
      <c r="N22" s="10">
        <f t="shared" si="4"/>
        <v>2.482310617</v>
      </c>
      <c r="O22" s="10">
        <f t="shared" si="5"/>
        <v>7474.24</v>
      </c>
      <c r="P22" s="10">
        <f t="shared" si="6"/>
        <v>59.71495295</v>
      </c>
      <c r="Q22" s="10">
        <f t="shared" si="7"/>
        <v>2025</v>
      </c>
      <c r="R22" s="10">
        <f t="shared" si="8"/>
        <v>6</v>
      </c>
      <c r="S22" s="10" t="str">
        <f t="shared" si="9"/>
        <v>2025-06</v>
      </c>
    </row>
    <row r="23" ht="14.25" customHeight="1">
      <c r="A23" s="7" t="s">
        <v>49</v>
      </c>
      <c r="B23" s="8">
        <v>45784.0</v>
      </c>
      <c r="C23" s="7" t="s">
        <v>33</v>
      </c>
      <c r="D23" s="7" t="s">
        <v>29</v>
      </c>
      <c r="E23" s="9">
        <v>5497.27</v>
      </c>
      <c r="F23" s="9">
        <v>4861.13</v>
      </c>
      <c r="G23" s="9">
        <v>156949.0</v>
      </c>
      <c r="H23" s="9">
        <v>1762.0</v>
      </c>
      <c r="I23" s="9">
        <v>304.0</v>
      </c>
      <c r="J23" s="9">
        <v>11029.39</v>
      </c>
      <c r="K23" s="10">
        <f t="shared" si="1"/>
        <v>0.01122657679</v>
      </c>
      <c r="L23" s="10">
        <f t="shared" si="2"/>
        <v>2.758870602</v>
      </c>
      <c r="M23" s="10">
        <f t="shared" si="3"/>
        <v>15.99055921</v>
      </c>
      <c r="N23" s="10">
        <f t="shared" si="4"/>
        <v>2.268894269</v>
      </c>
      <c r="O23" s="10">
        <f t="shared" si="5"/>
        <v>6168.26</v>
      </c>
      <c r="P23" s="10">
        <f t="shared" si="6"/>
        <v>55.92566769</v>
      </c>
      <c r="Q23" s="10">
        <f t="shared" si="7"/>
        <v>2025</v>
      </c>
      <c r="R23" s="10">
        <f t="shared" si="8"/>
        <v>5</v>
      </c>
      <c r="S23" s="10" t="str">
        <f t="shared" si="9"/>
        <v>2025-05</v>
      </c>
    </row>
    <row r="24" ht="14.25" customHeight="1">
      <c r="A24" s="7" t="s">
        <v>50</v>
      </c>
      <c r="B24" s="8">
        <v>45810.0</v>
      </c>
      <c r="C24" s="7" t="s">
        <v>23</v>
      </c>
      <c r="D24" s="7" t="s">
        <v>29</v>
      </c>
      <c r="E24" s="9">
        <v>3986.47</v>
      </c>
      <c r="F24" s="9">
        <v>4148.56</v>
      </c>
      <c r="G24" s="9">
        <v>138676.0</v>
      </c>
      <c r="H24" s="9">
        <v>4683.0</v>
      </c>
      <c r="I24" s="9">
        <v>91.0</v>
      </c>
      <c r="J24" s="9">
        <v>2023.52</v>
      </c>
      <c r="K24" s="10">
        <f t="shared" si="1"/>
        <v>0.03376936168</v>
      </c>
      <c r="L24" s="10">
        <f t="shared" si="2"/>
        <v>0.8858765748</v>
      </c>
      <c r="M24" s="10">
        <f t="shared" si="3"/>
        <v>45.58857143</v>
      </c>
      <c r="N24" s="10">
        <f t="shared" si="4"/>
        <v>0.4877644291</v>
      </c>
      <c r="O24" s="10">
        <f t="shared" si="5"/>
        <v>-2125.04</v>
      </c>
      <c r="P24" s="10">
        <f t="shared" si="6"/>
        <v>-105.0170001</v>
      </c>
      <c r="Q24" s="10">
        <f t="shared" si="7"/>
        <v>2025</v>
      </c>
      <c r="R24" s="10">
        <f t="shared" si="8"/>
        <v>6</v>
      </c>
      <c r="S24" s="10" t="str">
        <f t="shared" si="9"/>
        <v>2025-06</v>
      </c>
    </row>
    <row r="25" ht="14.25" customHeight="1">
      <c r="A25" s="7" t="s">
        <v>51</v>
      </c>
      <c r="B25" s="8">
        <v>45766.0</v>
      </c>
      <c r="C25" s="7" t="s">
        <v>33</v>
      </c>
      <c r="D25" s="7" t="s">
        <v>24</v>
      </c>
      <c r="E25" s="9">
        <v>9908.21</v>
      </c>
      <c r="F25" s="9">
        <v>10222.04</v>
      </c>
      <c r="G25" s="9">
        <v>133918.0</v>
      </c>
      <c r="H25" s="9">
        <v>4771.0</v>
      </c>
      <c r="I25" s="9">
        <v>266.0</v>
      </c>
      <c r="J25" s="9">
        <v>6905.75</v>
      </c>
      <c r="K25" s="10">
        <f t="shared" si="1"/>
        <v>0.03562627877</v>
      </c>
      <c r="L25" s="10">
        <f t="shared" si="2"/>
        <v>2.142536156</v>
      </c>
      <c r="M25" s="10">
        <f t="shared" si="3"/>
        <v>38.4287218</v>
      </c>
      <c r="N25" s="10">
        <f t="shared" si="4"/>
        <v>0.6755745429</v>
      </c>
      <c r="O25" s="10">
        <f t="shared" si="5"/>
        <v>-3316.29</v>
      </c>
      <c r="P25" s="10">
        <f t="shared" si="6"/>
        <v>-48.02215545</v>
      </c>
      <c r="Q25" s="10">
        <f t="shared" si="7"/>
        <v>2025</v>
      </c>
      <c r="R25" s="10">
        <f t="shared" si="8"/>
        <v>4</v>
      </c>
      <c r="S25" s="10" t="str">
        <f t="shared" si="9"/>
        <v>2025-04</v>
      </c>
    </row>
    <row r="26" ht="14.25" customHeight="1">
      <c r="A26" s="7" t="s">
        <v>52</v>
      </c>
      <c r="B26" s="8">
        <v>45703.0</v>
      </c>
      <c r="C26" s="7" t="s">
        <v>28</v>
      </c>
      <c r="D26" s="7" t="s">
        <v>21</v>
      </c>
      <c r="E26" s="9">
        <v>3038.65</v>
      </c>
      <c r="F26" s="9">
        <v>3174.29</v>
      </c>
      <c r="G26" s="9">
        <v>116892.0</v>
      </c>
      <c r="H26" s="9">
        <v>1613.0</v>
      </c>
      <c r="I26" s="9">
        <v>73.0</v>
      </c>
      <c r="J26" s="9">
        <v>3008.02</v>
      </c>
      <c r="K26" s="10">
        <f t="shared" si="1"/>
        <v>0.01379906238</v>
      </c>
      <c r="L26" s="10">
        <f t="shared" si="2"/>
        <v>1.967941723</v>
      </c>
      <c r="M26" s="10">
        <f t="shared" si="3"/>
        <v>43.48342466</v>
      </c>
      <c r="N26" s="10">
        <f t="shared" si="4"/>
        <v>0.9476197827</v>
      </c>
      <c r="O26" s="10">
        <f t="shared" si="5"/>
        <v>-166.27</v>
      </c>
      <c r="P26" s="10">
        <f t="shared" si="6"/>
        <v>-5.527556333</v>
      </c>
      <c r="Q26" s="10">
        <f t="shared" si="7"/>
        <v>2025</v>
      </c>
      <c r="R26" s="10">
        <f t="shared" si="8"/>
        <v>2</v>
      </c>
      <c r="S26" s="10" t="str">
        <f t="shared" si="9"/>
        <v>2025-02</v>
      </c>
    </row>
    <row r="27" ht="14.25" customHeight="1">
      <c r="A27" s="7" t="s">
        <v>53</v>
      </c>
      <c r="B27" s="8">
        <v>45753.0</v>
      </c>
      <c r="C27" s="7" t="s">
        <v>23</v>
      </c>
      <c r="D27" s="7" t="s">
        <v>29</v>
      </c>
      <c r="E27" s="9">
        <v>8103.05</v>
      </c>
      <c r="F27" s="9">
        <v>8357.33</v>
      </c>
      <c r="G27" s="9">
        <v>187598.0</v>
      </c>
      <c r="H27" s="9">
        <v>7514.0</v>
      </c>
      <c r="I27" s="9">
        <v>1465.0</v>
      </c>
      <c r="J27" s="9">
        <v>32554.26</v>
      </c>
      <c r="K27" s="10">
        <f t="shared" si="1"/>
        <v>0.04005373192</v>
      </c>
      <c r="L27" s="10">
        <f t="shared" si="2"/>
        <v>1.112234496</v>
      </c>
      <c r="M27" s="10">
        <f t="shared" si="3"/>
        <v>5.704662116</v>
      </c>
      <c r="N27" s="10">
        <f t="shared" si="4"/>
        <v>3.895294311</v>
      </c>
      <c r="O27" s="10">
        <f t="shared" si="5"/>
        <v>24196.93</v>
      </c>
      <c r="P27" s="10">
        <f t="shared" si="6"/>
        <v>74.32799885</v>
      </c>
      <c r="Q27" s="10">
        <f t="shared" si="7"/>
        <v>2025</v>
      </c>
      <c r="R27" s="10">
        <f t="shared" si="8"/>
        <v>4</v>
      </c>
      <c r="S27" s="10" t="str">
        <f t="shared" si="9"/>
        <v>2025-04</v>
      </c>
    </row>
    <row r="28" ht="14.25" customHeight="1">
      <c r="A28" s="7" t="s">
        <v>54</v>
      </c>
      <c r="B28" s="8">
        <v>45721.0</v>
      </c>
      <c r="C28" s="7" t="s">
        <v>31</v>
      </c>
      <c r="D28" s="7" t="s">
        <v>29</v>
      </c>
      <c r="E28" s="9">
        <v>5509.26</v>
      </c>
      <c r="F28" s="9">
        <v>4598.91</v>
      </c>
      <c r="G28" s="9">
        <v>145792.0</v>
      </c>
      <c r="H28" s="9">
        <v>2973.0</v>
      </c>
      <c r="I28" s="9">
        <v>495.0</v>
      </c>
      <c r="J28" s="9">
        <v>22717.09</v>
      </c>
      <c r="K28" s="10">
        <f t="shared" si="1"/>
        <v>0.02039206541</v>
      </c>
      <c r="L28" s="10">
        <f t="shared" si="2"/>
        <v>1.546892028</v>
      </c>
      <c r="M28" s="10">
        <f t="shared" si="3"/>
        <v>9.290727273</v>
      </c>
      <c r="N28" s="10">
        <f t="shared" si="4"/>
        <v>4.939668313</v>
      </c>
      <c r="O28" s="10">
        <f t="shared" si="5"/>
        <v>18118.18</v>
      </c>
      <c r="P28" s="10">
        <f t="shared" si="6"/>
        <v>79.75572576</v>
      </c>
      <c r="Q28" s="10">
        <f t="shared" si="7"/>
        <v>2025</v>
      </c>
      <c r="R28" s="10">
        <f t="shared" si="8"/>
        <v>3</v>
      </c>
      <c r="S28" s="10" t="str">
        <f t="shared" si="9"/>
        <v>2025-03</v>
      </c>
    </row>
    <row r="29" ht="14.25" customHeight="1">
      <c r="A29" s="7" t="s">
        <v>55</v>
      </c>
      <c r="B29" s="8">
        <v>45809.0</v>
      </c>
      <c r="C29" s="7" t="s">
        <v>23</v>
      </c>
      <c r="D29" s="7" t="s">
        <v>21</v>
      </c>
      <c r="E29" s="9">
        <v>7363.09</v>
      </c>
      <c r="F29" s="9">
        <v>6621.4</v>
      </c>
      <c r="G29" s="9">
        <v>144942.0</v>
      </c>
      <c r="H29" s="9">
        <v>5511.0</v>
      </c>
      <c r="I29" s="9">
        <v>222.0</v>
      </c>
      <c r="J29" s="9">
        <v>4863.3</v>
      </c>
      <c r="K29" s="10">
        <f t="shared" si="1"/>
        <v>0.03802210539</v>
      </c>
      <c r="L29" s="10">
        <f t="shared" si="2"/>
        <v>1.201487933</v>
      </c>
      <c r="M29" s="10">
        <f t="shared" si="3"/>
        <v>29.82612613</v>
      </c>
      <c r="N29" s="10">
        <f t="shared" si="4"/>
        <v>0.7344821337</v>
      </c>
      <c r="O29" s="10">
        <f t="shared" si="5"/>
        <v>-1758.1</v>
      </c>
      <c r="P29" s="10">
        <f t="shared" si="6"/>
        <v>-36.15035058</v>
      </c>
      <c r="Q29" s="10">
        <f t="shared" si="7"/>
        <v>2025</v>
      </c>
      <c r="R29" s="10">
        <f t="shared" si="8"/>
        <v>6</v>
      </c>
      <c r="S29" s="10" t="str">
        <f t="shared" si="9"/>
        <v>2025-06</v>
      </c>
    </row>
    <row r="30" ht="14.25" customHeight="1">
      <c r="A30" s="7" t="s">
        <v>56</v>
      </c>
      <c r="B30" s="8">
        <v>45809.0</v>
      </c>
      <c r="C30" s="7" t="s">
        <v>31</v>
      </c>
      <c r="D30" s="7" t="s">
        <v>29</v>
      </c>
      <c r="E30" s="9">
        <v>5176.88</v>
      </c>
      <c r="F30" s="9">
        <v>4646.53</v>
      </c>
      <c r="G30" s="9">
        <v>81620.0</v>
      </c>
      <c r="H30" s="9">
        <v>3629.0</v>
      </c>
      <c r="I30" s="9">
        <v>513.0</v>
      </c>
      <c r="J30" s="9">
        <v>21488.64</v>
      </c>
      <c r="K30" s="10">
        <f t="shared" si="1"/>
        <v>0.04446214163</v>
      </c>
      <c r="L30" s="10">
        <f t="shared" si="2"/>
        <v>1.280388537</v>
      </c>
      <c r="M30" s="10">
        <f t="shared" si="3"/>
        <v>9.057563353</v>
      </c>
      <c r="N30" s="10">
        <f t="shared" si="4"/>
        <v>4.624663997</v>
      </c>
      <c r="O30" s="10">
        <f t="shared" si="5"/>
        <v>16842.11</v>
      </c>
      <c r="P30" s="10">
        <f t="shared" si="6"/>
        <v>78.37680747</v>
      </c>
      <c r="Q30" s="10">
        <f t="shared" si="7"/>
        <v>2025</v>
      </c>
      <c r="R30" s="10">
        <f t="shared" si="8"/>
        <v>6</v>
      </c>
      <c r="S30" s="10" t="str">
        <f t="shared" si="9"/>
        <v>2025-06</v>
      </c>
    </row>
    <row r="31" ht="14.25" customHeight="1">
      <c r="A31" s="7" t="s">
        <v>57</v>
      </c>
      <c r="B31" s="8">
        <v>45679.0</v>
      </c>
      <c r="C31" s="7" t="s">
        <v>20</v>
      </c>
      <c r="D31" s="7" t="s">
        <v>24</v>
      </c>
      <c r="E31" s="9">
        <v>7462.9</v>
      </c>
      <c r="F31" s="9">
        <v>7956.67</v>
      </c>
      <c r="G31" s="9">
        <v>73683.0</v>
      </c>
      <c r="H31" s="9">
        <v>2259.0</v>
      </c>
      <c r="I31" s="9">
        <v>324.0</v>
      </c>
      <c r="J31" s="9">
        <v>11069.93</v>
      </c>
      <c r="K31" s="10">
        <f t="shared" si="1"/>
        <v>0.03065836082</v>
      </c>
      <c r="L31" s="10">
        <f t="shared" si="2"/>
        <v>3.522208942</v>
      </c>
      <c r="M31" s="10">
        <f t="shared" si="3"/>
        <v>24.55762346</v>
      </c>
      <c r="N31" s="10">
        <f t="shared" si="4"/>
        <v>1.391276753</v>
      </c>
      <c r="O31" s="10">
        <f t="shared" si="5"/>
        <v>3113.26</v>
      </c>
      <c r="P31" s="10">
        <f t="shared" si="6"/>
        <v>28.1235744</v>
      </c>
      <c r="Q31" s="10">
        <f t="shared" si="7"/>
        <v>2025</v>
      </c>
      <c r="R31" s="10">
        <f t="shared" si="8"/>
        <v>1</v>
      </c>
      <c r="S31" s="10" t="str">
        <f t="shared" si="9"/>
        <v>2025-01</v>
      </c>
    </row>
    <row r="32" ht="14.25" customHeight="1">
      <c r="A32" s="7" t="s">
        <v>58</v>
      </c>
      <c r="B32" s="8">
        <v>45768.0</v>
      </c>
      <c r="C32" s="7" t="s">
        <v>20</v>
      </c>
      <c r="D32" s="7" t="s">
        <v>26</v>
      </c>
      <c r="E32" s="9">
        <v>3837.16</v>
      </c>
      <c r="F32" s="9">
        <v>3890.78</v>
      </c>
      <c r="G32" s="9">
        <v>69783.0</v>
      </c>
      <c r="H32" s="9">
        <v>2886.0</v>
      </c>
      <c r="I32" s="9">
        <v>227.0</v>
      </c>
      <c r="J32" s="9">
        <v>9720.95</v>
      </c>
      <c r="K32" s="10">
        <f t="shared" si="1"/>
        <v>0.04135677744</v>
      </c>
      <c r="L32" s="10">
        <f t="shared" si="2"/>
        <v>1.348156618</v>
      </c>
      <c r="M32" s="10">
        <f t="shared" si="3"/>
        <v>17.14</v>
      </c>
      <c r="N32" s="10">
        <f t="shared" si="4"/>
        <v>2.498457893</v>
      </c>
      <c r="O32" s="10">
        <f t="shared" si="5"/>
        <v>5830.17</v>
      </c>
      <c r="P32" s="10">
        <f t="shared" si="6"/>
        <v>59.97531105</v>
      </c>
      <c r="Q32" s="10">
        <f t="shared" si="7"/>
        <v>2025</v>
      </c>
      <c r="R32" s="10">
        <f t="shared" si="8"/>
        <v>4</v>
      </c>
      <c r="S32" s="10" t="str">
        <f t="shared" si="9"/>
        <v>2025-04</v>
      </c>
    </row>
    <row r="33" ht="14.25" customHeight="1">
      <c r="A33" s="7" t="s">
        <v>59</v>
      </c>
      <c r="B33" s="8">
        <v>45802.0</v>
      </c>
      <c r="C33" s="7" t="s">
        <v>31</v>
      </c>
      <c r="D33" s="7" t="s">
        <v>24</v>
      </c>
      <c r="E33" s="9">
        <v>6928.94</v>
      </c>
      <c r="F33" s="9">
        <v>7145.75</v>
      </c>
      <c r="G33" s="9">
        <v>154773.0</v>
      </c>
      <c r="H33" s="9">
        <v>2350.0</v>
      </c>
      <c r="I33" s="9">
        <v>389.0</v>
      </c>
      <c r="J33" s="9">
        <v>13542.59</v>
      </c>
      <c r="K33" s="10">
        <f t="shared" si="1"/>
        <v>0.01518352684</v>
      </c>
      <c r="L33" s="10">
        <f t="shared" si="2"/>
        <v>3.040744681</v>
      </c>
      <c r="M33" s="10">
        <f t="shared" si="3"/>
        <v>18.36953728</v>
      </c>
      <c r="N33" s="10">
        <f t="shared" si="4"/>
        <v>1.895195046</v>
      </c>
      <c r="O33" s="10">
        <f t="shared" si="5"/>
        <v>6396.84</v>
      </c>
      <c r="P33" s="10">
        <f t="shared" si="6"/>
        <v>47.23498238</v>
      </c>
      <c r="Q33" s="10">
        <f t="shared" si="7"/>
        <v>2025</v>
      </c>
      <c r="R33" s="10">
        <f t="shared" si="8"/>
        <v>5</v>
      </c>
      <c r="S33" s="10" t="str">
        <f t="shared" si="9"/>
        <v>2025-05</v>
      </c>
    </row>
    <row r="34" ht="14.25" customHeight="1">
      <c r="A34" s="7" t="s">
        <v>60</v>
      </c>
      <c r="B34" s="8">
        <v>45711.0</v>
      </c>
      <c r="C34" s="7" t="s">
        <v>33</v>
      </c>
      <c r="D34" s="7" t="s">
        <v>21</v>
      </c>
      <c r="E34" s="9">
        <v>6659.13</v>
      </c>
      <c r="F34" s="9">
        <v>6181.42</v>
      </c>
      <c r="G34" s="9">
        <v>69731.0</v>
      </c>
      <c r="H34" s="9">
        <v>2872.0</v>
      </c>
      <c r="I34" s="9">
        <v>455.0</v>
      </c>
      <c r="J34" s="9">
        <v>9446.97</v>
      </c>
      <c r="K34" s="10">
        <f t="shared" si="1"/>
        <v>0.0411868466</v>
      </c>
      <c r="L34" s="10">
        <f t="shared" si="2"/>
        <v>2.152305014</v>
      </c>
      <c r="M34" s="10">
        <f t="shared" si="3"/>
        <v>13.58553846</v>
      </c>
      <c r="N34" s="10">
        <f t="shared" si="4"/>
        <v>1.528284763</v>
      </c>
      <c r="O34" s="10">
        <f t="shared" si="5"/>
        <v>3265.55</v>
      </c>
      <c r="P34" s="10">
        <f t="shared" si="6"/>
        <v>34.5671681</v>
      </c>
      <c r="Q34" s="10">
        <f t="shared" si="7"/>
        <v>2025</v>
      </c>
      <c r="R34" s="10">
        <f t="shared" si="8"/>
        <v>2</v>
      </c>
      <c r="S34" s="10" t="str">
        <f t="shared" si="9"/>
        <v>2025-02</v>
      </c>
    </row>
    <row r="35" ht="14.25" customHeight="1">
      <c r="A35" s="7" t="s">
        <v>61</v>
      </c>
      <c r="B35" s="8">
        <v>45690.0</v>
      </c>
      <c r="C35" s="7" t="s">
        <v>31</v>
      </c>
      <c r="D35" s="7" t="s">
        <v>24</v>
      </c>
      <c r="E35" s="9">
        <v>3755.24</v>
      </c>
      <c r="F35" s="9">
        <v>3039.6</v>
      </c>
      <c r="G35" s="9">
        <v>188839.0</v>
      </c>
      <c r="H35" s="9">
        <v>7836.0</v>
      </c>
      <c r="I35" s="9">
        <v>1477.0</v>
      </c>
      <c r="J35" s="9">
        <v>57739.35</v>
      </c>
      <c r="K35" s="10">
        <f t="shared" si="1"/>
        <v>0.04149566562</v>
      </c>
      <c r="L35" s="10">
        <f t="shared" si="2"/>
        <v>0.3879019908</v>
      </c>
      <c r="M35" s="10">
        <f t="shared" si="3"/>
        <v>2.057955315</v>
      </c>
      <c r="N35" s="10">
        <f t="shared" si="4"/>
        <v>18.99570667</v>
      </c>
      <c r="O35" s="10">
        <f t="shared" si="5"/>
        <v>54699.75</v>
      </c>
      <c r="P35" s="10">
        <f t="shared" si="6"/>
        <v>94.73565255</v>
      </c>
      <c r="Q35" s="10">
        <f t="shared" si="7"/>
        <v>2025</v>
      </c>
      <c r="R35" s="10">
        <f t="shared" si="8"/>
        <v>2</v>
      </c>
      <c r="S35" s="10" t="str">
        <f t="shared" si="9"/>
        <v>2025-02</v>
      </c>
    </row>
    <row r="36" ht="14.25" customHeight="1">
      <c r="A36" s="7" t="s">
        <v>62</v>
      </c>
      <c r="B36" s="8">
        <v>45653.0</v>
      </c>
      <c r="C36" s="7" t="s">
        <v>28</v>
      </c>
      <c r="D36" s="7" t="s">
        <v>26</v>
      </c>
      <c r="E36" s="9">
        <v>5200.49</v>
      </c>
      <c r="F36" s="9">
        <v>4953.84</v>
      </c>
      <c r="G36" s="9">
        <v>146830.0</v>
      </c>
      <c r="H36" s="9">
        <v>6778.0</v>
      </c>
      <c r="I36" s="9">
        <v>787.0</v>
      </c>
      <c r="J36" s="9">
        <v>37167.64</v>
      </c>
      <c r="K36" s="10">
        <f t="shared" si="1"/>
        <v>0.04616222843</v>
      </c>
      <c r="L36" s="10">
        <f t="shared" si="2"/>
        <v>0.7308704633</v>
      </c>
      <c r="M36" s="10">
        <f t="shared" si="3"/>
        <v>6.294587039</v>
      </c>
      <c r="N36" s="10">
        <f t="shared" si="4"/>
        <v>7.502793792</v>
      </c>
      <c r="O36" s="10">
        <f t="shared" si="5"/>
        <v>32213.8</v>
      </c>
      <c r="P36" s="10">
        <f t="shared" si="6"/>
        <v>86.67163156</v>
      </c>
      <c r="Q36" s="10">
        <f t="shared" si="7"/>
        <v>2024</v>
      </c>
      <c r="R36" s="10">
        <f t="shared" si="8"/>
        <v>12</v>
      </c>
      <c r="S36" s="10" t="str">
        <f t="shared" si="9"/>
        <v>2024-12</v>
      </c>
    </row>
    <row r="37" ht="14.25" customHeight="1">
      <c r="A37" s="7" t="s">
        <v>63</v>
      </c>
      <c r="B37" s="8">
        <v>45755.0</v>
      </c>
      <c r="C37" s="7" t="s">
        <v>33</v>
      </c>
      <c r="D37" s="7" t="s">
        <v>21</v>
      </c>
      <c r="E37" s="9">
        <v>4745.05</v>
      </c>
      <c r="F37" s="9">
        <v>4380.23</v>
      </c>
      <c r="G37" s="9">
        <v>114426.0</v>
      </c>
      <c r="H37" s="9">
        <v>4726.0</v>
      </c>
      <c r="I37" s="9">
        <v>77.0</v>
      </c>
      <c r="J37" s="9">
        <v>3285.32</v>
      </c>
      <c r="K37" s="10">
        <f t="shared" si="1"/>
        <v>0.04130180204</v>
      </c>
      <c r="L37" s="10">
        <f t="shared" si="2"/>
        <v>0.9268366483</v>
      </c>
      <c r="M37" s="10">
        <f t="shared" si="3"/>
        <v>56.8861039</v>
      </c>
      <c r="N37" s="10">
        <f t="shared" si="4"/>
        <v>0.750033674</v>
      </c>
      <c r="O37" s="10">
        <f t="shared" si="5"/>
        <v>-1094.91</v>
      </c>
      <c r="P37" s="10">
        <f t="shared" si="6"/>
        <v>-33.32734711</v>
      </c>
      <c r="Q37" s="10">
        <f t="shared" si="7"/>
        <v>2025</v>
      </c>
      <c r="R37" s="10">
        <f t="shared" si="8"/>
        <v>4</v>
      </c>
      <c r="S37" s="10" t="str">
        <f t="shared" si="9"/>
        <v>2025-04</v>
      </c>
    </row>
    <row r="38" ht="14.25" customHeight="1">
      <c r="A38" s="7" t="s">
        <v>64</v>
      </c>
      <c r="B38" s="8">
        <v>45701.0</v>
      </c>
      <c r="C38" s="7" t="s">
        <v>23</v>
      </c>
      <c r="D38" s="7" t="s">
        <v>26</v>
      </c>
      <c r="E38" s="9">
        <v>4601.59</v>
      </c>
      <c r="F38" s="9">
        <v>3787.54</v>
      </c>
      <c r="G38" s="9">
        <v>78896.0</v>
      </c>
      <c r="H38" s="9">
        <v>1812.0</v>
      </c>
      <c r="I38" s="9">
        <v>219.0</v>
      </c>
      <c r="J38" s="9">
        <v>6283.67</v>
      </c>
      <c r="K38" s="10">
        <f t="shared" si="1"/>
        <v>0.02296694382</v>
      </c>
      <c r="L38" s="10">
        <f t="shared" si="2"/>
        <v>2.090253863</v>
      </c>
      <c r="M38" s="10">
        <f t="shared" si="3"/>
        <v>17.2947032</v>
      </c>
      <c r="N38" s="10">
        <f t="shared" si="4"/>
        <v>1.659037264</v>
      </c>
      <c r="O38" s="10">
        <f t="shared" si="5"/>
        <v>2496.13</v>
      </c>
      <c r="P38" s="10">
        <f t="shared" si="6"/>
        <v>39.72407844</v>
      </c>
      <c r="Q38" s="10">
        <f t="shared" si="7"/>
        <v>2025</v>
      </c>
      <c r="R38" s="10">
        <f t="shared" si="8"/>
        <v>2</v>
      </c>
      <c r="S38" s="10" t="str">
        <f t="shared" si="9"/>
        <v>2025-02</v>
      </c>
    </row>
    <row r="39" ht="14.25" customHeight="1">
      <c r="A39" s="7" t="s">
        <v>65</v>
      </c>
      <c r="B39" s="8">
        <v>45759.0</v>
      </c>
      <c r="C39" s="7" t="s">
        <v>28</v>
      </c>
      <c r="D39" s="7" t="s">
        <v>29</v>
      </c>
      <c r="E39" s="9">
        <v>4128.55</v>
      </c>
      <c r="F39" s="9">
        <v>4454.33</v>
      </c>
      <c r="G39" s="9">
        <v>114833.0</v>
      </c>
      <c r="H39" s="9">
        <v>5099.0</v>
      </c>
      <c r="I39" s="9">
        <v>70.0</v>
      </c>
      <c r="J39" s="9">
        <v>3097.05</v>
      </c>
      <c r="K39" s="10">
        <f t="shared" si="1"/>
        <v>0.0444036122</v>
      </c>
      <c r="L39" s="10">
        <f t="shared" si="2"/>
        <v>0.8735693273</v>
      </c>
      <c r="M39" s="10">
        <f t="shared" si="3"/>
        <v>63.63328571</v>
      </c>
      <c r="N39" s="10">
        <f t="shared" si="4"/>
        <v>0.6952897518</v>
      </c>
      <c r="O39" s="10">
        <f t="shared" si="5"/>
        <v>-1357.28</v>
      </c>
      <c r="P39" s="10">
        <f t="shared" si="6"/>
        <v>-43.82493018</v>
      </c>
      <c r="Q39" s="10">
        <f t="shared" si="7"/>
        <v>2025</v>
      </c>
      <c r="R39" s="10">
        <f t="shared" si="8"/>
        <v>4</v>
      </c>
      <c r="S39" s="10" t="str">
        <f t="shared" si="9"/>
        <v>2025-04</v>
      </c>
    </row>
    <row r="40" ht="14.25" customHeight="1">
      <c r="A40" s="7" t="s">
        <v>66</v>
      </c>
      <c r="B40" s="8">
        <v>45722.0</v>
      </c>
      <c r="C40" s="7" t="s">
        <v>23</v>
      </c>
      <c r="D40" s="7" t="s">
        <v>26</v>
      </c>
      <c r="E40" s="9">
        <v>7433.83</v>
      </c>
      <c r="F40" s="9">
        <v>7890.55</v>
      </c>
      <c r="G40" s="9">
        <v>86560.0</v>
      </c>
      <c r="H40" s="9">
        <v>3682.0</v>
      </c>
      <c r="I40" s="9">
        <v>609.0</v>
      </c>
      <c r="J40" s="9">
        <v>26863.09</v>
      </c>
      <c r="K40" s="10">
        <f t="shared" si="1"/>
        <v>0.04253696858</v>
      </c>
      <c r="L40" s="10">
        <f t="shared" si="2"/>
        <v>2.143006518</v>
      </c>
      <c r="M40" s="10">
        <f t="shared" si="3"/>
        <v>12.95656814</v>
      </c>
      <c r="N40" s="10">
        <f t="shared" si="4"/>
        <v>3.404463567</v>
      </c>
      <c r="O40" s="10">
        <f t="shared" si="5"/>
        <v>18972.54</v>
      </c>
      <c r="P40" s="10">
        <f t="shared" si="6"/>
        <v>70.62679684</v>
      </c>
      <c r="Q40" s="10">
        <f t="shared" si="7"/>
        <v>2025</v>
      </c>
      <c r="R40" s="10">
        <f t="shared" si="8"/>
        <v>3</v>
      </c>
      <c r="S40" s="10" t="str">
        <f t="shared" si="9"/>
        <v>2025-03</v>
      </c>
    </row>
    <row r="41" ht="14.25" customHeight="1">
      <c r="A41" s="7" t="s">
        <v>67</v>
      </c>
      <c r="B41" s="8">
        <v>45748.0</v>
      </c>
      <c r="C41" s="7" t="s">
        <v>28</v>
      </c>
      <c r="D41" s="7" t="s">
        <v>26</v>
      </c>
      <c r="E41" s="9">
        <v>4305.99</v>
      </c>
      <c r="F41" s="9">
        <v>4597.8</v>
      </c>
      <c r="G41" s="9">
        <v>74753.0</v>
      </c>
      <c r="H41" s="9">
        <v>1230.0</v>
      </c>
      <c r="I41" s="9">
        <v>234.0</v>
      </c>
      <c r="J41" s="9">
        <v>8466.18</v>
      </c>
      <c r="K41" s="10">
        <f t="shared" si="1"/>
        <v>0.01645418913</v>
      </c>
      <c r="L41" s="10">
        <f t="shared" si="2"/>
        <v>3.73804878</v>
      </c>
      <c r="M41" s="10">
        <f t="shared" si="3"/>
        <v>19.64871795</v>
      </c>
      <c r="N41" s="10">
        <f t="shared" si="4"/>
        <v>1.841354561</v>
      </c>
      <c r="O41" s="10">
        <f t="shared" si="5"/>
        <v>3868.38</v>
      </c>
      <c r="P41" s="10">
        <f t="shared" si="6"/>
        <v>45.69215396</v>
      </c>
      <c r="Q41" s="10">
        <f t="shared" si="7"/>
        <v>2025</v>
      </c>
      <c r="R41" s="10">
        <f t="shared" si="8"/>
        <v>4</v>
      </c>
      <c r="S41" s="10" t="str">
        <f t="shared" si="9"/>
        <v>2025-04</v>
      </c>
    </row>
    <row r="42" ht="14.25" customHeight="1">
      <c r="A42" s="7" t="s">
        <v>68</v>
      </c>
      <c r="B42" s="8">
        <v>45701.0</v>
      </c>
      <c r="C42" s="7" t="s">
        <v>33</v>
      </c>
      <c r="D42" s="7" t="s">
        <v>29</v>
      </c>
      <c r="E42" s="9">
        <v>8652.08</v>
      </c>
      <c r="F42" s="9">
        <v>9247.58</v>
      </c>
      <c r="G42" s="9">
        <v>177534.0</v>
      </c>
      <c r="H42" s="9">
        <v>2754.0</v>
      </c>
      <c r="I42" s="9">
        <v>206.0</v>
      </c>
      <c r="J42" s="9">
        <v>6085.26</v>
      </c>
      <c r="K42" s="10">
        <f t="shared" si="1"/>
        <v>0.01551252155</v>
      </c>
      <c r="L42" s="10">
        <f t="shared" si="2"/>
        <v>3.357872186</v>
      </c>
      <c r="M42" s="10">
        <f t="shared" si="3"/>
        <v>44.89116505</v>
      </c>
      <c r="N42" s="10">
        <f t="shared" si="4"/>
        <v>0.6580381029</v>
      </c>
      <c r="O42" s="10">
        <f t="shared" si="5"/>
        <v>-3162.32</v>
      </c>
      <c r="P42" s="10">
        <f t="shared" si="6"/>
        <v>-51.96688391</v>
      </c>
      <c r="Q42" s="10">
        <f t="shared" si="7"/>
        <v>2025</v>
      </c>
      <c r="R42" s="10">
        <f t="shared" si="8"/>
        <v>2</v>
      </c>
      <c r="S42" s="10" t="str">
        <f t="shared" si="9"/>
        <v>2025-02</v>
      </c>
    </row>
    <row r="43" ht="14.25" customHeight="1">
      <c r="A43" s="7" t="s">
        <v>69</v>
      </c>
      <c r="B43" s="8">
        <v>45671.0</v>
      </c>
      <c r="C43" s="7" t="s">
        <v>28</v>
      </c>
      <c r="D43" s="7" t="s">
        <v>26</v>
      </c>
      <c r="E43" s="9">
        <v>3770.36</v>
      </c>
      <c r="F43" s="9">
        <v>3274.11</v>
      </c>
      <c r="G43" s="9">
        <v>179996.0</v>
      </c>
      <c r="H43" s="9">
        <v>8814.0</v>
      </c>
      <c r="I43" s="9">
        <v>1350.0</v>
      </c>
      <c r="J43" s="9">
        <v>44297.87</v>
      </c>
      <c r="K43" s="10">
        <f t="shared" si="1"/>
        <v>0.04896775484</v>
      </c>
      <c r="L43" s="10">
        <f t="shared" si="2"/>
        <v>0.3714669843</v>
      </c>
      <c r="M43" s="10">
        <f t="shared" si="3"/>
        <v>2.425266667</v>
      </c>
      <c r="N43" s="10">
        <f t="shared" si="4"/>
        <v>13.52974396</v>
      </c>
      <c r="O43" s="10">
        <f t="shared" si="5"/>
        <v>41023.76</v>
      </c>
      <c r="P43" s="10">
        <f t="shared" si="6"/>
        <v>92.60887713</v>
      </c>
      <c r="Q43" s="10">
        <f t="shared" si="7"/>
        <v>2025</v>
      </c>
      <c r="R43" s="10">
        <f t="shared" si="8"/>
        <v>1</v>
      </c>
      <c r="S43" s="10" t="str">
        <f t="shared" si="9"/>
        <v>2025-01</v>
      </c>
    </row>
    <row r="44" ht="14.25" customHeight="1">
      <c r="A44" s="7" t="s">
        <v>70</v>
      </c>
      <c r="B44" s="8">
        <v>45642.0</v>
      </c>
      <c r="C44" s="7" t="s">
        <v>28</v>
      </c>
      <c r="D44" s="7" t="s">
        <v>21</v>
      </c>
      <c r="E44" s="9">
        <v>8726.1</v>
      </c>
      <c r="F44" s="9">
        <v>9234.13</v>
      </c>
      <c r="G44" s="9">
        <v>169629.0</v>
      </c>
      <c r="H44" s="9">
        <v>5933.0</v>
      </c>
      <c r="I44" s="9">
        <v>149.0</v>
      </c>
      <c r="J44" s="9">
        <v>3011.08</v>
      </c>
      <c r="K44" s="10">
        <f t="shared" si="1"/>
        <v>0.0349763307</v>
      </c>
      <c r="L44" s="10">
        <f t="shared" si="2"/>
        <v>1.556401483</v>
      </c>
      <c r="M44" s="10">
        <f t="shared" si="3"/>
        <v>61.97402685</v>
      </c>
      <c r="N44" s="10">
        <f t="shared" si="4"/>
        <v>0.3260816125</v>
      </c>
      <c r="O44" s="10">
        <f t="shared" si="5"/>
        <v>-6223.05</v>
      </c>
      <c r="P44" s="10">
        <f t="shared" si="6"/>
        <v>-206.6716925</v>
      </c>
      <c r="Q44" s="10">
        <f t="shared" si="7"/>
        <v>2024</v>
      </c>
      <c r="R44" s="10">
        <f t="shared" si="8"/>
        <v>12</v>
      </c>
      <c r="S44" s="10" t="str">
        <f t="shared" si="9"/>
        <v>2024-12</v>
      </c>
    </row>
    <row r="45" ht="14.25" customHeight="1">
      <c r="A45" s="7" t="s">
        <v>71</v>
      </c>
      <c r="B45" s="8">
        <v>45763.0</v>
      </c>
      <c r="C45" s="7" t="s">
        <v>31</v>
      </c>
      <c r="D45" s="7" t="s">
        <v>21</v>
      </c>
      <c r="E45" s="9">
        <v>6575.23</v>
      </c>
      <c r="F45" s="9">
        <v>6083.56</v>
      </c>
      <c r="G45" s="9">
        <v>103534.0</v>
      </c>
      <c r="H45" s="9">
        <v>3406.0</v>
      </c>
      <c r="I45" s="9">
        <v>219.0</v>
      </c>
      <c r="J45" s="9">
        <v>5839.25</v>
      </c>
      <c r="K45" s="10">
        <f t="shared" si="1"/>
        <v>0.03289740568</v>
      </c>
      <c r="L45" s="10">
        <f t="shared" si="2"/>
        <v>1.786130358</v>
      </c>
      <c r="M45" s="10">
        <f t="shared" si="3"/>
        <v>27.77881279</v>
      </c>
      <c r="N45" s="10">
        <f t="shared" si="4"/>
        <v>0.9598409484</v>
      </c>
      <c r="O45" s="10">
        <f t="shared" si="5"/>
        <v>-244.31</v>
      </c>
      <c r="P45" s="10">
        <f t="shared" si="6"/>
        <v>-4.18392773</v>
      </c>
      <c r="Q45" s="10">
        <f t="shared" si="7"/>
        <v>2025</v>
      </c>
      <c r="R45" s="10">
        <f t="shared" si="8"/>
        <v>4</v>
      </c>
      <c r="S45" s="10" t="str">
        <f t="shared" si="9"/>
        <v>2025-04</v>
      </c>
    </row>
    <row r="46" ht="14.25" customHeight="1">
      <c r="A46" s="7" t="s">
        <v>72</v>
      </c>
      <c r="B46" s="8">
        <v>45785.0</v>
      </c>
      <c r="C46" s="7" t="s">
        <v>28</v>
      </c>
      <c r="D46" s="7" t="s">
        <v>24</v>
      </c>
      <c r="E46" s="9">
        <v>3839.06</v>
      </c>
      <c r="F46" s="9">
        <v>3460.09</v>
      </c>
      <c r="G46" s="9">
        <v>157185.0</v>
      </c>
      <c r="H46" s="9">
        <v>1409.0</v>
      </c>
      <c r="I46" s="9">
        <v>97.0</v>
      </c>
      <c r="J46" s="9">
        <v>4683.87</v>
      </c>
      <c r="K46" s="10">
        <f t="shared" si="1"/>
        <v>0.008963959665</v>
      </c>
      <c r="L46" s="10">
        <f t="shared" si="2"/>
        <v>2.455706175</v>
      </c>
      <c r="M46" s="10">
        <f t="shared" si="3"/>
        <v>35.67103093</v>
      </c>
      <c r="N46" s="10">
        <f t="shared" si="4"/>
        <v>1.353684442</v>
      </c>
      <c r="O46" s="10">
        <f t="shared" si="5"/>
        <v>1223.78</v>
      </c>
      <c r="P46" s="10">
        <f t="shared" si="6"/>
        <v>26.12753983</v>
      </c>
      <c r="Q46" s="10">
        <f t="shared" si="7"/>
        <v>2025</v>
      </c>
      <c r="R46" s="10">
        <f t="shared" si="8"/>
        <v>5</v>
      </c>
      <c r="S46" s="10" t="str">
        <f t="shared" si="9"/>
        <v>2025-05</v>
      </c>
    </row>
    <row r="47" ht="14.25" customHeight="1">
      <c r="A47" s="7" t="s">
        <v>73</v>
      </c>
      <c r="B47" s="8">
        <v>45797.0</v>
      </c>
      <c r="C47" s="7" t="s">
        <v>28</v>
      </c>
      <c r="D47" s="7" t="s">
        <v>24</v>
      </c>
      <c r="E47" s="9">
        <v>5262.42</v>
      </c>
      <c r="F47" s="9">
        <v>5028.96</v>
      </c>
      <c r="G47" s="9">
        <v>114793.0</v>
      </c>
      <c r="H47" s="9">
        <v>4639.0</v>
      </c>
      <c r="I47" s="9">
        <v>463.0</v>
      </c>
      <c r="J47" s="9">
        <v>19024.93</v>
      </c>
      <c r="K47" s="10">
        <f t="shared" si="1"/>
        <v>0.0404118718</v>
      </c>
      <c r="L47" s="10">
        <f t="shared" si="2"/>
        <v>1.08406122</v>
      </c>
      <c r="M47" s="10">
        <f t="shared" si="3"/>
        <v>10.86168467</v>
      </c>
      <c r="N47" s="10">
        <f t="shared" si="4"/>
        <v>3.783074433</v>
      </c>
      <c r="O47" s="10">
        <f t="shared" si="5"/>
        <v>13995.97</v>
      </c>
      <c r="P47" s="10">
        <f t="shared" si="6"/>
        <v>73.56647304</v>
      </c>
      <c r="Q47" s="10">
        <f t="shared" si="7"/>
        <v>2025</v>
      </c>
      <c r="R47" s="10">
        <f t="shared" si="8"/>
        <v>5</v>
      </c>
      <c r="S47" s="10" t="str">
        <f t="shared" si="9"/>
        <v>2025-05</v>
      </c>
    </row>
    <row r="48" ht="14.25" customHeight="1">
      <c r="A48" s="7" t="s">
        <v>74</v>
      </c>
      <c r="B48" s="8">
        <v>45662.0</v>
      </c>
      <c r="C48" s="7" t="s">
        <v>20</v>
      </c>
      <c r="D48" s="7" t="s">
        <v>29</v>
      </c>
      <c r="E48" s="9">
        <v>5545.41</v>
      </c>
      <c r="F48" s="9">
        <v>6053.01</v>
      </c>
      <c r="G48" s="9">
        <v>175219.0</v>
      </c>
      <c r="H48" s="9">
        <v>4802.0</v>
      </c>
      <c r="I48" s="9">
        <v>292.0</v>
      </c>
      <c r="J48" s="9">
        <v>14271.04</v>
      </c>
      <c r="K48" s="10">
        <f t="shared" si="1"/>
        <v>0.02740570372</v>
      </c>
      <c r="L48" s="10">
        <f t="shared" si="2"/>
        <v>1.260518534</v>
      </c>
      <c r="M48" s="10">
        <f t="shared" si="3"/>
        <v>20.7294863</v>
      </c>
      <c r="N48" s="10">
        <f t="shared" si="4"/>
        <v>2.357676594</v>
      </c>
      <c r="O48" s="10">
        <f t="shared" si="5"/>
        <v>8218.03</v>
      </c>
      <c r="P48" s="10">
        <f t="shared" si="6"/>
        <v>57.58536168</v>
      </c>
      <c r="Q48" s="10">
        <f t="shared" si="7"/>
        <v>2025</v>
      </c>
      <c r="R48" s="10">
        <f t="shared" si="8"/>
        <v>1</v>
      </c>
      <c r="S48" s="10" t="str">
        <f t="shared" si="9"/>
        <v>2025-01</v>
      </c>
    </row>
    <row r="49" ht="14.25" customHeight="1">
      <c r="A49" s="7" t="s">
        <v>75</v>
      </c>
      <c r="B49" s="8">
        <v>45726.0</v>
      </c>
      <c r="C49" s="7" t="s">
        <v>28</v>
      </c>
      <c r="D49" s="7" t="s">
        <v>26</v>
      </c>
      <c r="E49" s="9">
        <v>4762.48</v>
      </c>
      <c r="F49" s="9">
        <v>4520.42</v>
      </c>
      <c r="G49" s="9">
        <v>100064.0</v>
      </c>
      <c r="H49" s="9">
        <v>1424.0</v>
      </c>
      <c r="I49" s="9">
        <v>261.0</v>
      </c>
      <c r="J49" s="9">
        <v>7575.88</v>
      </c>
      <c r="K49" s="10">
        <f t="shared" si="1"/>
        <v>0.01423089223</v>
      </c>
      <c r="L49" s="10">
        <f t="shared" si="2"/>
        <v>3.174452247</v>
      </c>
      <c r="M49" s="10">
        <f t="shared" si="3"/>
        <v>17.31961686</v>
      </c>
      <c r="N49" s="10">
        <f t="shared" si="4"/>
        <v>1.675923919</v>
      </c>
      <c r="O49" s="10">
        <f t="shared" si="5"/>
        <v>3055.46</v>
      </c>
      <c r="P49" s="10">
        <f t="shared" si="6"/>
        <v>40.33142024</v>
      </c>
      <c r="Q49" s="10">
        <f t="shared" si="7"/>
        <v>2025</v>
      </c>
      <c r="R49" s="10">
        <f t="shared" si="8"/>
        <v>3</v>
      </c>
      <c r="S49" s="10" t="str">
        <f t="shared" si="9"/>
        <v>2025-03</v>
      </c>
    </row>
    <row r="50" ht="14.25" customHeight="1">
      <c r="A50" s="7" t="s">
        <v>76</v>
      </c>
      <c r="B50" s="8">
        <v>45693.0</v>
      </c>
      <c r="C50" s="7" t="s">
        <v>23</v>
      </c>
      <c r="D50" s="7" t="s">
        <v>26</v>
      </c>
      <c r="E50" s="9">
        <v>4993.88</v>
      </c>
      <c r="F50" s="9">
        <v>4050.37</v>
      </c>
      <c r="G50" s="9">
        <v>61208.0</v>
      </c>
      <c r="H50" s="9">
        <v>3037.0</v>
      </c>
      <c r="I50" s="9">
        <v>504.0</v>
      </c>
      <c r="J50" s="9">
        <v>19296.61</v>
      </c>
      <c r="K50" s="10">
        <f t="shared" si="1"/>
        <v>0.04961769703</v>
      </c>
      <c r="L50" s="10">
        <f t="shared" si="2"/>
        <v>1.333674679</v>
      </c>
      <c r="M50" s="10">
        <f t="shared" si="3"/>
        <v>8.036448413</v>
      </c>
      <c r="N50" s="10">
        <f t="shared" si="4"/>
        <v>4.764159817</v>
      </c>
      <c r="O50" s="10">
        <f t="shared" si="5"/>
        <v>15246.24</v>
      </c>
      <c r="P50" s="10">
        <f t="shared" si="6"/>
        <v>79.00994009</v>
      </c>
      <c r="Q50" s="10">
        <f t="shared" si="7"/>
        <v>2025</v>
      </c>
      <c r="R50" s="10">
        <f t="shared" si="8"/>
        <v>2</v>
      </c>
      <c r="S50" s="10" t="str">
        <f t="shared" si="9"/>
        <v>2025-02</v>
      </c>
    </row>
    <row r="51" ht="14.25" customHeight="1">
      <c r="A51" s="7" t="s">
        <v>77</v>
      </c>
      <c r="B51" s="8">
        <v>45806.0</v>
      </c>
      <c r="C51" s="7" t="s">
        <v>31</v>
      </c>
      <c r="D51" s="7" t="s">
        <v>26</v>
      </c>
      <c r="E51" s="9">
        <v>6518.75</v>
      </c>
      <c r="F51" s="9">
        <v>5315.67</v>
      </c>
      <c r="G51" s="9">
        <v>64306.0</v>
      </c>
      <c r="H51" s="9">
        <v>2956.0</v>
      </c>
      <c r="I51" s="9">
        <v>50.0</v>
      </c>
      <c r="J51" s="9">
        <v>1417.97</v>
      </c>
      <c r="K51" s="10">
        <f t="shared" si="1"/>
        <v>0.04596771685</v>
      </c>
      <c r="L51" s="10">
        <f t="shared" si="2"/>
        <v>1.798264547</v>
      </c>
      <c r="M51" s="10">
        <f t="shared" si="3"/>
        <v>106.3134</v>
      </c>
      <c r="N51" s="10">
        <f t="shared" si="4"/>
        <v>0.266752827</v>
      </c>
      <c r="O51" s="10">
        <f t="shared" si="5"/>
        <v>-3897.7</v>
      </c>
      <c r="P51" s="10">
        <f t="shared" si="6"/>
        <v>-274.8788761</v>
      </c>
      <c r="Q51" s="10">
        <f t="shared" si="7"/>
        <v>2025</v>
      </c>
      <c r="R51" s="10">
        <f t="shared" si="8"/>
        <v>5</v>
      </c>
      <c r="S51" s="10" t="str">
        <f t="shared" si="9"/>
        <v>2025-05</v>
      </c>
    </row>
    <row r="52" ht="14.25" customHeight="1">
      <c r="A52" s="7" t="s">
        <v>78</v>
      </c>
      <c r="B52" s="8">
        <v>45780.0</v>
      </c>
      <c r="C52" s="7" t="s">
        <v>31</v>
      </c>
      <c r="D52" s="7" t="s">
        <v>24</v>
      </c>
      <c r="E52" s="9">
        <v>9357.86</v>
      </c>
      <c r="F52" s="9">
        <v>8158.82</v>
      </c>
      <c r="G52" s="9">
        <v>160805.0</v>
      </c>
      <c r="H52" s="9">
        <v>1964.0</v>
      </c>
      <c r="I52" s="9">
        <v>323.0</v>
      </c>
      <c r="J52" s="9">
        <v>7864.03</v>
      </c>
      <c r="K52" s="10">
        <f t="shared" si="1"/>
        <v>0.01221355057</v>
      </c>
      <c r="L52" s="10">
        <f t="shared" si="2"/>
        <v>4.154185336</v>
      </c>
      <c r="M52" s="10">
        <f t="shared" si="3"/>
        <v>25.25950464</v>
      </c>
      <c r="N52" s="10">
        <f t="shared" si="4"/>
        <v>0.9638685496</v>
      </c>
      <c r="O52" s="10">
        <f t="shared" si="5"/>
        <v>-294.79</v>
      </c>
      <c r="P52" s="10">
        <f t="shared" si="6"/>
        <v>-3.74858692</v>
      </c>
      <c r="Q52" s="10">
        <f t="shared" si="7"/>
        <v>2025</v>
      </c>
      <c r="R52" s="10">
        <f t="shared" si="8"/>
        <v>5</v>
      </c>
      <c r="S52" s="10" t="str">
        <f t="shared" si="9"/>
        <v>2025-05</v>
      </c>
    </row>
    <row r="53" ht="14.25" customHeight="1">
      <c r="A53" s="7" t="s">
        <v>79</v>
      </c>
      <c r="B53" s="8">
        <v>45727.0</v>
      </c>
      <c r="C53" s="7" t="s">
        <v>28</v>
      </c>
      <c r="D53" s="7" t="s">
        <v>24</v>
      </c>
      <c r="E53" s="9">
        <v>6426.17</v>
      </c>
      <c r="F53" s="9">
        <v>7041.12</v>
      </c>
      <c r="G53" s="9">
        <v>169372.0</v>
      </c>
      <c r="H53" s="9">
        <v>2478.0</v>
      </c>
      <c r="I53" s="9">
        <v>264.0</v>
      </c>
      <c r="J53" s="9">
        <v>7197.08</v>
      </c>
      <c r="K53" s="10">
        <f t="shared" si="1"/>
        <v>0.01463051744</v>
      </c>
      <c r="L53" s="10">
        <f t="shared" si="2"/>
        <v>2.841452785</v>
      </c>
      <c r="M53" s="10">
        <f t="shared" si="3"/>
        <v>26.67090909</v>
      </c>
      <c r="N53" s="10">
        <f t="shared" si="4"/>
        <v>1.022149885</v>
      </c>
      <c r="O53" s="10">
        <f t="shared" si="5"/>
        <v>155.96</v>
      </c>
      <c r="P53" s="10">
        <f t="shared" si="6"/>
        <v>2.166989946</v>
      </c>
      <c r="Q53" s="10">
        <f t="shared" si="7"/>
        <v>2025</v>
      </c>
      <c r="R53" s="10">
        <f t="shared" si="8"/>
        <v>3</v>
      </c>
      <c r="S53" s="10" t="str">
        <f t="shared" si="9"/>
        <v>2025-03</v>
      </c>
    </row>
    <row r="54" ht="14.25" customHeight="1">
      <c r="A54" s="7" t="s">
        <v>80</v>
      </c>
      <c r="B54" s="8">
        <v>45667.0</v>
      </c>
      <c r="C54" s="7" t="s">
        <v>23</v>
      </c>
      <c r="D54" s="7" t="s">
        <v>24</v>
      </c>
      <c r="E54" s="9">
        <v>7704.95</v>
      </c>
      <c r="F54" s="9">
        <v>7924.43</v>
      </c>
      <c r="G54" s="9">
        <v>77537.0</v>
      </c>
      <c r="H54" s="9">
        <v>3060.0</v>
      </c>
      <c r="I54" s="9">
        <v>221.0</v>
      </c>
      <c r="J54" s="9">
        <v>5995.54</v>
      </c>
      <c r="K54" s="10">
        <f t="shared" si="1"/>
        <v>0.0394650296</v>
      </c>
      <c r="L54" s="10">
        <f t="shared" si="2"/>
        <v>2.589683007</v>
      </c>
      <c r="M54" s="10">
        <f t="shared" si="3"/>
        <v>35.85714932</v>
      </c>
      <c r="N54" s="10">
        <f t="shared" si="4"/>
        <v>0.7565894329</v>
      </c>
      <c r="O54" s="10">
        <f t="shared" si="5"/>
        <v>-1928.89</v>
      </c>
      <c r="P54" s="10">
        <f t="shared" si="6"/>
        <v>-32.17208125</v>
      </c>
      <c r="Q54" s="10">
        <f t="shared" si="7"/>
        <v>2025</v>
      </c>
      <c r="R54" s="10">
        <f t="shared" si="8"/>
        <v>1</v>
      </c>
      <c r="S54" s="10" t="str">
        <f t="shared" si="9"/>
        <v>2025-01</v>
      </c>
    </row>
    <row r="55" ht="14.25" customHeight="1">
      <c r="A55" s="7" t="s">
        <v>81</v>
      </c>
      <c r="B55" s="8">
        <v>45682.0</v>
      </c>
      <c r="C55" s="7" t="s">
        <v>28</v>
      </c>
      <c r="D55" s="7" t="s">
        <v>21</v>
      </c>
      <c r="E55" s="9">
        <v>8097.51</v>
      </c>
      <c r="F55" s="9">
        <v>7371.45</v>
      </c>
      <c r="G55" s="9">
        <v>111631.0</v>
      </c>
      <c r="H55" s="9">
        <v>2469.0</v>
      </c>
      <c r="I55" s="9">
        <v>139.0</v>
      </c>
      <c r="J55" s="9">
        <v>5416.72</v>
      </c>
      <c r="K55" s="10">
        <f t="shared" si="1"/>
        <v>0.02211751216</v>
      </c>
      <c r="L55" s="10">
        <f t="shared" si="2"/>
        <v>2.985601458</v>
      </c>
      <c r="M55" s="10">
        <f t="shared" si="3"/>
        <v>53.03201439</v>
      </c>
      <c r="N55" s="10">
        <f t="shared" si="4"/>
        <v>0.7348242205</v>
      </c>
      <c r="O55" s="10">
        <f t="shared" si="5"/>
        <v>-1954.73</v>
      </c>
      <c r="P55" s="10">
        <f t="shared" si="6"/>
        <v>-36.08696776</v>
      </c>
      <c r="Q55" s="10">
        <f t="shared" si="7"/>
        <v>2025</v>
      </c>
      <c r="R55" s="10">
        <f t="shared" si="8"/>
        <v>1</v>
      </c>
      <c r="S55" s="10" t="str">
        <f t="shared" si="9"/>
        <v>2025-01</v>
      </c>
    </row>
    <row r="56" ht="14.25" customHeight="1">
      <c r="A56" s="7" t="s">
        <v>82</v>
      </c>
      <c r="B56" s="8">
        <v>45674.0</v>
      </c>
      <c r="C56" s="7" t="s">
        <v>20</v>
      </c>
      <c r="D56" s="7" t="s">
        <v>21</v>
      </c>
      <c r="E56" s="9">
        <v>7434.71</v>
      </c>
      <c r="F56" s="9">
        <v>7142.77</v>
      </c>
      <c r="G56" s="9">
        <v>102718.0</v>
      </c>
      <c r="H56" s="9">
        <v>2206.0</v>
      </c>
      <c r="I56" s="9">
        <v>152.0</v>
      </c>
      <c r="J56" s="9">
        <v>3451.72</v>
      </c>
      <c r="K56" s="10">
        <f t="shared" si="1"/>
        <v>0.02147627485</v>
      </c>
      <c r="L56" s="10">
        <f t="shared" si="2"/>
        <v>3.237883046</v>
      </c>
      <c r="M56" s="10">
        <f t="shared" si="3"/>
        <v>46.99190789</v>
      </c>
      <c r="N56" s="10">
        <f t="shared" si="4"/>
        <v>0.4832466956</v>
      </c>
      <c r="O56" s="10">
        <f t="shared" si="5"/>
        <v>-3691.05</v>
      </c>
      <c r="P56" s="10">
        <f t="shared" si="6"/>
        <v>-106.9336447</v>
      </c>
      <c r="Q56" s="10">
        <f t="shared" si="7"/>
        <v>2025</v>
      </c>
      <c r="R56" s="10">
        <f t="shared" si="8"/>
        <v>1</v>
      </c>
      <c r="S56" s="10" t="str">
        <f t="shared" si="9"/>
        <v>2025-01</v>
      </c>
    </row>
    <row r="57" ht="14.25" customHeight="1">
      <c r="A57" s="7" t="s">
        <v>83</v>
      </c>
      <c r="B57" s="8">
        <v>45684.0</v>
      </c>
      <c r="C57" s="7" t="s">
        <v>31</v>
      </c>
      <c r="D57" s="7" t="s">
        <v>21</v>
      </c>
      <c r="E57" s="9">
        <v>8847.12</v>
      </c>
      <c r="F57" s="9">
        <v>7929.09</v>
      </c>
      <c r="G57" s="9">
        <v>79647.0</v>
      </c>
      <c r="H57" s="9">
        <v>2287.0</v>
      </c>
      <c r="I57" s="9">
        <v>311.0</v>
      </c>
      <c r="J57" s="9">
        <v>7960.22</v>
      </c>
      <c r="K57" s="10">
        <f t="shared" si="1"/>
        <v>0.02871420141</v>
      </c>
      <c r="L57" s="10">
        <f t="shared" si="2"/>
        <v>3.467026672</v>
      </c>
      <c r="M57" s="10">
        <f t="shared" si="3"/>
        <v>25.49546624</v>
      </c>
      <c r="N57" s="10">
        <f t="shared" si="4"/>
        <v>1.00392605</v>
      </c>
      <c r="O57" s="10">
        <f t="shared" si="5"/>
        <v>31.13</v>
      </c>
      <c r="P57" s="10">
        <f t="shared" si="6"/>
        <v>0.3910695936</v>
      </c>
      <c r="Q57" s="10">
        <f t="shared" si="7"/>
        <v>2025</v>
      </c>
      <c r="R57" s="10">
        <f t="shared" si="8"/>
        <v>1</v>
      </c>
      <c r="S57" s="10" t="str">
        <f t="shared" si="9"/>
        <v>2025-01</v>
      </c>
    </row>
    <row r="58" ht="14.25" customHeight="1">
      <c r="A58" s="7" t="s">
        <v>84</v>
      </c>
      <c r="B58" s="8">
        <v>45704.0</v>
      </c>
      <c r="C58" s="7" t="s">
        <v>23</v>
      </c>
      <c r="D58" s="7" t="s">
        <v>26</v>
      </c>
      <c r="E58" s="9">
        <v>3285.43</v>
      </c>
      <c r="F58" s="9">
        <v>3210.75</v>
      </c>
      <c r="G58" s="9">
        <v>155333.0</v>
      </c>
      <c r="H58" s="9">
        <v>2501.0</v>
      </c>
      <c r="I58" s="9">
        <v>402.0</v>
      </c>
      <c r="J58" s="9">
        <v>16211.43</v>
      </c>
      <c r="K58" s="10">
        <f t="shared" si="1"/>
        <v>0.01610089292</v>
      </c>
      <c r="L58" s="10">
        <f t="shared" si="2"/>
        <v>1.283786485</v>
      </c>
      <c r="M58" s="10">
        <f t="shared" si="3"/>
        <v>7.986940299</v>
      </c>
      <c r="N58" s="10">
        <f t="shared" si="4"/>
        <v>5.049110021</v>
      </c>
      <c r="O58" s="10">
        <f t="shared" si="5"/>
        <v>13000.68</v>
      </c>
      <c r="P58" s="10">
        <f t="shared" si="6"/>
        <v>80.19452942</v>
      </c>
      <c r="Q58" s="10">
        <f t="shared" si="7"/>
        <v>2025</v>
      </c>
      <c r="R58" s="10">
        <f t="shared" si="8"/>
        <v>2</v>
      </c>
      <c r="S58" s="10" t="str">
        <f t="shared" si="9"/>
        <v>2025-02</v>
      </c>
    </row>
    <row r="59" ht="14.25" customHeight="1">
      <c r="A59" s="7" t="s">
        <v>85</v>
      </c>
      <c r="B59" s="8">
        <v>45772.0</v>
      </c>
      <c r="C59" s="7" t="s">
        <v>31</v>
      </c>
      <c r="D59" s="7" t="s">
        <v>21</v>
      </c>
      <c r="E59" s="9">
        <v>3116.11</v>
      </c>
      <c r="F59" s="9">
        <v>2971.61</v>
      </c>
      <c r="G59" s="9">
        <v>81389.0</v>
      </c>
      <c r="H59" s="9">
        <v>3140.0</v>
      </c>
      <c r="I59" s="9">
        <v>392.0</v>
      </c>
      <c r="J59" s="9">
        <v>10503.59</v>
      </c>
      <c r="K59" s="10">
        <f t="shared" si="1"/>
        <v>0.03858015211</v>
      </c>
      <c r="L59" s="10">
        <f t="shared" si="2"/>
        <v>0.9463726115</v>
      </c>
      <c r="M59" s="10">
        <f t="shared" si="3"/>
        <v>7.580637755</v>
      </c>
      <c r="N59" s="10">
        <f t="shared" si="4"/>
        <v>3.534646202</v>
      </c>
      <c r="O59" s="10">
        <f t="shared" si="5"/>
        <v>7531.98</v>
      </c>
      <c r="P59" s="10">
        <f t="shared" si="6"/>
        <v>71.70862534</v>
      </c>
      <c r="Q59" s="10">
        <f t="shared" si="7"/>
        <v>2025</v>
      </c>
      <c r="R59" s="10">
        <f t="shared" si="8"/>
        <v>4</v>
      </c>
      <c r="S59" s="10" t="str">
        <f t="shared" si="9"/>
        <v>2025-04</v>
      </c>
    </row>
    <row r="60" ht="14.25" customHeight="1">
      <c r="A60" s="7" t="s">
        <v>86</v>
      </c>
      <c r="B60" s="8">
        <v>45769.0</v>
      </c>
      <c r="C60" s="7" t="s">
        <v>33</v>
      </c>
      <c r="D60" s="7" t="s">
        <v>26</v>
      </c>
      <c r="E60" s="9">
        <v>7516.21</v>
      </c>
      <c r="F60" s="9">
        <v>6406.14</v>
      </c>
      <c r="G60" s="9">
        <v>146743.0</v>
      </c>
      <c r="H60" s="9">
        <v>3193.0</v>
      </c>
      <c r="I60" s="9">
        <v>385.0</v>
      </c>
      <c r="J60" s="9">
        <v>15680.33</v>
      </c>
      <c r="K60" s="10">
        <f t="shared" si="1"/>
        <v>0.02175912991</v>
      </c>
      <c r="L60" s="10">
        <f t="shared" si="2"/>
        <v>2.006307548</v>
      </c>
      <c r="M60" s="10">
        <f t="shared" si="3"/>
        <v>16.63932468</v>
      </c>
      <c r="N60" s="10">
        <f t="shared" si="4"/>
        <v>2.447703297</v>
      </c>
      <c r="O60" s="10">
        <f t="shared" si="5"/>
        <v>9274.19</v>
      </c>
      <c r="P60" s="10">
        <f t="shared" si="6"/>
        <v>59.14537513</v>
      </c>
      <c r="Q60" s="10">
        <f t="shared" si="7"/>
        <v>2025</v>
      </c>
      <c r="R60" s="10">
        <f t="shared" si="8"/>
        <v>4</v>
      </c>
      <c r="S60" s="10" t="str">
        <f t="shared" si="9"/>
        <v>2025-04</v>
      </c>
    </row>
    <row r="61" ht="14.25" customHeight="1">
      <c r="A61" s="7" t="s">
        <v>87</v>
      </c>
      <c r="B61" s="8">
        <v>45747.0</v>
      </c>
      <c r="C61" s="7" t="s">
        <v>31</v>
      </c>
      <c r="D61" s="7" t="s">
        <v>26</v>
      </c>
      <c r="E61" s="9">
        <v>5707.15</v>
      </c>
      <c r="F61" s="9">
        <v>6169.54</v>
      </c>
      <c r="G61" s="9">
        <v>121778.0</v>
      </c>
      <c r="H61" s="9">
        <v>2381.0</v>
      </c>
      <c r="I61" s="9">
        <v>316.0</v>
      </c>
      <c r="J61" s="9">
        <v>7623.7</v>
      </c>
      <c r="K61" s="10">
        <f t="shared" si="1"/>
        <v>0.01955197162</v>
      </c>
      <c r="L61" s="10">
        <f t="shared" si="2"/>
        <v>2.591154977</v>
      </c>
      <c r="M61" s="10">
        <f t="shared" si="3"/>
        <v>19.52386076</v>
      </c>
      <c r="N61" s="10">
        <f t="shared" si="4"/>
        <v>1.235699906</v>
      </c>
      <c r="O61" s="10">
        <f t="shared" si="5"/>
        <v>1454.16</v>
      </c>
      <c r="P61" s="10">
        <f t="shared" si="6"/>
        <v>19.07420281</v>
      </c>
      <c r="Q61" s="10">
        <f t="shared" si="7"/>
        <v>2025</v>
      </c>
      <c r="R61" s="10">
        <f t="shared" si="8"/>
        <v>3</v>
      </c>
      <c r="S61" s="10" t="str">
        <f t="shared" si="9"/>
        <v>2025-03</v>
      </c>
    </row>
    <row r="62" ht="14.25" customHeight="1">
      <c r="A62" s="7" t="s">
        <v>88</v>
      </c>
      <c r="B62" s="8">
        <v>45645.0</v>
      </c>
      <c r="C62" s="7" t="s">
        <v>23</v>
      </c>
      <c r="D62" s="7" t="s">
        <v>21</v>
      </c>
      <c r="E62" s="9">
        <v>5387.46</v>
      </c>
      <c r="F62" s="9">
        <v>4493.37</v>
      </c>
      <c r="G62" s="9">
        <v>145652.0</v>
      </c>
      <c r="H62" s="9">
        <v>3086.0</v>
      </c>
      <c r="I62" s="9">
        <v>536.0</v>
      </c>
      <c r="J62" s="9">
        <v>25589.07</v>
      </c>
      <c r="K62" s="10">
        <f t="shared" si="1"/>
        <v>0.02118748799</v>
      </c>
      <c r="L62" s="10">
        <f t="shared" si="2"/>
        <v>1.456049903</v>
      </c>
      <c r="M62" s="10">
        <f t="shared" si="3"/>
        <v>8.383152985</v>
      </c>
      <c r="N62" s="10">
        <f t="shared" si="4"/>
        <v>5.694850413</v>
      </c>
      <c r="O62" s="10">
        <f t="shared" si="5"/>
        <v>21095.7</v>
      </c>
      <c r="P62" s="10">
        <f t="shared" si="6"/>
        <v>82.44027626</v>
      </c>
      <c r="Q62" s="10">
        <f t="shared" si="7"/>
        <v>2024</v>
      </c>
      <c r="R62" s="10">
        <f t="shared" si="8"/>
        <v>12</v>
      </c>
      <c r="S62" s="10" t="str">
        <f t="shared" si="9"/>
        <v>2024-12</v>
      </c>
    </row>
    <row r="63" ht="14.25" customHeight="1">
      <c r="A63" s="7" t="s">
        <v>89</v>
      </c>
      <c r="B63" s="8">
        <v>45710.0</v>
      </c>
      <c r="C63" s="7" t="s">
        <v>23</v>
      </c>
      <c r="D63" s="7" t="s">
        <v>24</v>
      </c>
      <c r="E63" s="9">
        <v>9141.38</v>
      </c>
      <c r="F63" s="9">
        <v>8020.49</v>
      </c>
      <c r="G63" s="9">
        <v>80391.0</v>
      </c>
      <c r="H63" s="9">
        <v>1900.0</v>
      </c>
      <c r="I63" s="9">
        <v>189.0</v>
      </c>
      <c r="J63" s="9">
        <v>7522.11</v>
      </c>
      <c r="K63" s="10">
        <f t="shared" si="1"/>
        <v>0.02363448645</v>
      </c>
      <c r="L63" s="10">
        <f t="shared" si="2"/>
        <v>4.221310526</v>
      </c>
      <c r="M63" s="10">
        <f t="shared" si="3"/>
        <v>42.43645503</v>
      </c>
      <c r="N63" s="10">
        <f t="shared" si="4"/>
        <v>0.9378616518</v>
      </c>
      <c r="O63" s="10">
        <f t="shared" si="5"/>
        <v>-498.38</v>
      </c>
      <c r="P63" s="10">
        <f t="shared" si="6"/>
        <v>-6.625534591</v>
      </c>
      <c r="Q63" s="10">
        <f t="shared" si="7"/>
        <v>2025</v>
      </c>
      <c r="R63" s="10">
        <f t="shared" si="8"/>
        <v>2</v>
      </c>
      <c r="S63" s="10" t="str">
        <f t="shared" si="9"/>
        <v>2025-02</v>
      </c>
    </row>
    <row r="64" ht="14.25" customHeight="1">
      <c r="A64" s="7" t="s">
        <v>90</v>
      </c>
      <c r="B64" s="8">
        <v>45717.0</v>
      </c>
      <c r="C64" s="7" t="s">
        <v>28</v>
      </c>
      <c r="D64" s="7" t="s">
        <v>21</v>
      </c>
      <c r="E64" s="9">
        <v>8720.56</v>
      </c>
      <c r="F64" s="9">
        <v>8428.95</v>
      </c>
      <c r="G64" s="9">
        <v>136864.0</v>
      </c>
      <c r="H64" s="9">
        <v>3696.0</v>
      </c>
      <c r="I64" s="9">
        <v>599.0</v>
      </c>
      <c r="J64" s="9">
        <v>21497.82</v>
      </c>
      <c r="K64" s="10">
        <f t="shared" si="1"/>
        <v>0.02700490998</v>
      </c>
      <c r="L64" s="10">
        <f t="shared" si="2"/>
        <v>2.280560065</v>
      </c>
      <c r="M64" s="10">
        <f t="shared" si="3"/>
        <v>14.07170284</v>
      </c>
      <c r="N64" s="10">
        <f t="shared" si="4"/>
        <v>2.550474258</v>
      </c>
      <c r="O64" s="10">
        <f t="shared" si="5"/>
        <v>13068.87</v>
      </c>
      <c r="P64" s="10">
        <f t="shared" si="6"/>
        <v>60.79160585</v>
      </c>
      <c r="Q64" s="10">
        <f t="shared" si="7"/>
        <v>2025</v>
      </c>
      <c r="R64" s="10">
        <f t="shared" si="8"/>
        <v>3</v>
      </c>
      <c r="S64" s="10" t="str">
        <f t="shared" si="9"/>
        <v>2025-03</v>
      </c>
    </row>
    <row r="65" ht="14.25" customHeight="1">
      <c r="A65" s="7" t="s">
        <v>91</v>
      </c>
      <c r="B65" s="8">
        <v>45805.0</v>
      </c>
      <c r="C65" s="7" t="s">
        <v>28</v>
      </c>
      <c r="D65" s="7" t="s">
        <v>24</v>
      </c>
      <c r="E65" s="9">
        <v>4692.97</v>
      </c>
      <c r="F65" s="9">
        <v>3885.45</v>
      </c>
      <c r="G65" s="9">
        <v>135649.0</v>
      </c>
      <c r="H65" s="9">
        <v>5567.0</v>
      </c>
      <c r="I65" s="9">
        <v>914.0</v>
      </c>
      <c r="J65" s="9">
        <v>42881.66</v>
      </c>
      <c r="K65" s="10">
        <f t="shared" si="1"/>
        <v>0.04103974228</v>
      </c>
      <c r="L65" s="10">
        <f t="shared" si="2"/>
        <v>0.6979432369</v>
      </c>
      <c r="M65" s="10">
        <f t="shared" si="3"/>
        <v>4.251039387</v>
      </c>
      <c r="N65" s="10">
        <f t="shared" si="4"/>
        <v>11.03647197</v>
      </c>
      <c r="O65" s="10">
        <f t="shared" si="5"/>
        <v>38996.21</v>
      </c>
      <c r="P65" s="10">
        <f t="shared" si="6"/>
        <v>90.93913342</v>
      </c>
      <c r="Q65" s="10">
        <f t="shared" si="7"/>
        <v>2025</v>
      </c>
      <c r="R65" s="10">
        <f t="shared" si="8"/>
        <v>5</v>
      </c>
      <c r="S65" s="10" t="str">
        <f t="shared" si="9"/>
        <v>2025-05</v>
      </c>
    </row>
    <row r="66" ht="14.25" customHeight="1">
      <c r="A66" s="7" t="s">
        <v>92</v>
      </c>
      <c r="B66" s="8">
        <v>45734.0</v>
      </c>
      <c r="C66" s="7" t="s">
        <v>31</v>
      </c>
      <c r="D66" s="7" t="s">
        <v>26</v>
      </c>
      <c r="E66" s="9">
        <v>9302.93</v>
      </c>
      <c r="F66" s="9">
        <v>9209.25</v>
      </c>
      <c r="G66" s="9">
        <v>75522.0</v>
      </c>
      <c r="H66" s="9">
        <v>1938.0</v>
      </c>
      <c r="I66" s="9">
        <v>231.0</v>
      </c>
      <c r="J66" s="9">
        <v>6969.48</v>
      </c>
      <c r="K66" s="10">
        <f t="shared" si="1"/>
        <v>0.02566139668</v>
      </c>
      <c r="L66" s="10">
        <f t="shared" si="2"/>
        <v>4.751934985</v>
      </c>
      <c r="M66" s="10">
        <f t="shared" si="3"/>
        <v>39.86688312</v>
      </c>
      <c r="N66" s="10">
        <f t="shared" si="4"/>
        <v>0.7567912696</v>
      </c>
      <c r="O66" s="10">
        <f t="shared" si="5"/>
        <v>-2239.77</v>
      </c>
      <c r="P66" s="10">
        <f t="shared" si="6"/>
        <v>-32.13683087</v>
      </c>
      <c r="Q66" s="10">
        <f t="shared" si="7"/>
        <v>2025</v>
      </c>
      <c r="R66" s="10">
        <f t="shared" si="8"/>
        <v>3</v>
      </c>
      <c r="S66" s="10" t="str">
        <f t="shared" si="9"/>
        <v>2025-03</v>
      </c>
    </row>
    <row r="67" ht="14.25" customHeight="1">
      <c r="A67" s="7" t="s">
        <v>93</v>
      </c>
      <c r="B67" s="8">
        <v>45654.0</v>
      </c>
      <c r="C67" s="7" t="s">
        <v>31</v>
      </c>
      <c r="D67" s="7" t="s">
        <v>26</v>
      </c>
      <c r="E67" s="9">
        <v>5444.47</v>
      </c>
      <c r="F67" s="9">
        <v>5541.31</v>
      </c>
      <c r="G67" s="9">
        <v>180933.0</v>
      </c>
      <c r="H67" s="9">
        <v>2435.0</v>
      </c>
      <c r="I67" s="9">
        <v>256.0</v>
      </c>
      <c r="J67" s="9">
        <v>12009.81</v>
      </c>
      <c r="K67" s="10">
        <f t="shared" si="1"/>
        <v>0.01345802037</v>
      </c>
      <c r="L67" s="10">
        <f t="shared" si="2"/>
        <v>2.275691992</v>
      </c>
      <c r="M67" s="10">
        <f t="shared" si="3"/>
        <v>21.64574219</v>
      </c>
      <c r="N67" s="10">
        <f t="shared" si="4"/>
        <v>2.16732325</v>
      </c>
      <c r="O67" s="10">
        <f t="shared" si="5"/>
        <v>6468.5</v>
      </c>
      <c r="P67" s="10">
        <f t="shared" si="6"/>
        <v>53.86013601</v>
      </c>
      <c r="Q67" s="10">
        <f t="shared" si="7"/>
        <v>2024</v>
      </c>
      <c r="R67" s="10">
        <f t="shared" si="8"/>
        <v>12</v>
      </c>
      <c r="S67" s="10" t="str">
        <f t="shared" si="9"/>
        <v>2024-12</v>
      </c>
    </row>
    <row r="68" ht="14.25" customHeight="1">
      <c r="A68" s="7" t="s">
        <v>94</v>
      </c>
      <c r="B68" s="8">
        <v>45757.0</v>
      </c>
      <c r="C68" s="7" t="s">
        <v>33</v>
      </c>
      <c r="D68" s="7" t="s">
        <v>24</v>
      </c>
      <c r="E68" s="9">
        <v>9209.6</v>
      </c>
      <c r="F68" s="9">
        <v>9522.38</v>
      </c>
      <c r="G68" s="9">
        <v>130681.0</v>
      </c>
      <c r="H68" s="9">
        <v>5935.0</v>
      </c>
      <c r="I68" s="9">
        <v>667.0</v>
      </c>
      <c r="J68" s="9">
        <v>26187.05</v>
      </c>
      <c r="K68" s="10">
        <f t="shared" si="1"/>
        <v>0.04541593652</v>
      </c>
      <c r="L68" s="10">
        <f t="shared" si="2"/>
        <v>1.604444819</v>
      </c>
      <c r="M68" s="10">
        <f t="shared" si="3"/>
        <v>14.27643178</v>
      </c>
      <c r="N68" s="10">
        <f t="shared" si="4"/>
        <v>2.750053033</v>
      </c>
      <c r="O68" s="10">
        <f t="shared" si="5"/>
        <v>16664.67</v>
      </c>
      <c r="P68" s="10">
        <f t="shared" si="6"/>
        <v>63.63706489</v>
      </c>
      <c r="Q68" s="10">
        <f t="shared" si="7"/>
        <v>2025</v>
      </c>
      <c r="R68" s="10">
        <f t="shared" si="8"/>
        <v>4</v>
      </c>
      <c r="S68" s="10" t="str">
        <f t="shared" si="9"/>
        <v>2025-04</v>
      </c>
    </row>
    <row r="69" ht="14.25" customHeight="1">
      <c r="A69" s="7" t="s">
        <v>95</v>
      </c>
      <c r="B69" s="8">
        <v>45687.0</v>
      </c>
      <c r="C69" s="7" t="s">
        <v>23</v>
      </c>
      <c r="D69" s="7" t="s">
        <v>24</v>
      </c>
      <c r="E69" s="9">
        <v>3588.98</v>
      </c>
      <c r="F69" s="9">
        <v>3045.21</v>
      </c>
      <c r="G69" s="9">
        <v>162389.0</v>
      </c>
      <c r="H69" s="9">
        <v>4500.0</v>
      </c>
      <c r="I69" s="9">
        <v>742.0</v>
      </c>
      <c r="J69" s="9">
        <v>34841.82</v>
      </c>
      <c r="K69" s="10">
        <f t="shared" si="1"/>
        <v>0.0277112366</v>
      </c>
      <c r="L69" s="10">
        <f t="shared" si="2"/>
        <v>0.6767133333</v>
      </c>
      <c r="M69" s="10">
        <f t="shared" si="3"/>
        <v>4.104056604</v>
      </c>
      <c r="N69" s="10">
        <f t="shared" si="4"/>
        <v>11.44151635</v>
      </c>
      <c r="O69" s="10">
        <f t="shared" si="5"/>
        <v>31796.61</v>
      </c>
      <c r="P69" s="10">
        <f t="shared" si="6"/>
        <v>91.25989974</v>
      </c>
      <c r="Q69" s="10">
        <f t="shared" si="7"/>
        <v>2025</v>
      </c>
      <c r="R69" s="10">
        <f t="shared" si="8"/>
        <v>1</v>
      </c>
      <c r="S69" s="10" t="str">
        <f t="shared" si="9"/>
        <v>2025-01</v>
      </c>
    </row>
    <row r="70" ht="14.25" customHeight="1">
      <c r="A70" s="7" t="s">
        <v>96</v>
      </c>
      <c r="B70" s="8">
        <v>45802.0</v>
      </c>
      <c r="C70" s="7" t="s">
        <v>28</v>
      </c>
      <c r="D70" s="7" t="s">
        <v>21</v>
      </c>
      <c r="E70" s="9">
        <v>7245.0</v>
      </c>
      <c r="F70" s="9">
        <v>5815.99</v>
      </c>
      <c r="G70" s="9">
        <v>94836.0</v>
      </c>
      <c r="H70" s="9">
        <v>3956.0</v>
      </c>
      <c r="I70" s="9">
        <v>181.0</v>
      </c>
      <c r="J70" s="9">
        <v>4170.99</v>
      </c>
      <c r="K70" s="10">
        <f t="shared" si="1"/>
        <v>0.041714117</v>
      </c>
      <c r="L70" s="10">
        <f t="shared" si="2"/>
        <v>1.470169363</v>
      </c>
      <c r="M70" s="10">
        <f t="shared" si="3"/>
        <v>32.13254144</v>
      </c>
      <c r="N70" s="10">
        <f t="shared" si="4"/>
        <v>0.7171590735</v>
      </c>
      <c r="O70" s="10">
        <f t="shared" si="5"/>
        <v>-1645</v>
      </c>
      <c r="P70" s="10">
        <f t="shared" si="6"/>
        <v>-39.43907801</v>
      </c>
      <c r="Q70" s="10">
        <f t="shared" si="7"/>
        <v>2025</v>
      </c>
      <c r="R70" s="10">
        <f t="shared" si="8"/>
        <v>5</v>
      </c>
      <c r="S70" s="10" t="str">
        <f t="shared" si="9"/>
        <v>2025-05</v>
      </c>
    </row>
    <row r="71" ht="14.25" customHeight="1">
      <c r="A71" s="7" t="s">
        <v>97</v>
      </c>
      <c r="B71" s="8">
        <v>45698.0</v>
      </c>
      <c r="C71" s="7" t="s">
        <v>23</v>
      </c>
      <c r="D71" s="7" t="s">
        <v>29</v>
      </c>
      <c r="E71" s="9">
        <v>7644.51</v>
      </c>
      <c r="F71" s="9">
        <v>6127.22</v>
      </c>
      <c r="G71" s="9">
        <v>191486.0</v>
      </c>
      <c r="H71" s="9">
        <v>4445.0</v>
      </c>
      <c r="I71" s="9">
        <v>80.0</v>
      </c>
      <c r="J71" s="9">
        <v>1985.94</v>
      </c>
      <c r="K71" s="10">
        <f t="shared" si="1"/>
        <v>0.0232131853</v>
      </c>
      <c r="L71" s="10">
        <f t="shared" si="2"/>
        <v>1.378452193</v>
      </c>
      <c r="M71" s="10">
        <f t="shared" si="3"/>
        <v>76.59025</v>
      </c>
      <c r="N71" s="10">
        <f t="shared" si="4"/>
        <v>0.3241176259</v>
      </c>
      <c r="O71" s="10">
        <f t="shared" si="5"/>
        <v>-4141.28</v>
      </c>
      <c r="P71" s="10">
        <f t="shared" si="6"/>
        <v>-208.5299657</v>
      </c>
      <c r="Q71" s="10">
        <f t="shared" si="7"/>
        <v>2025</v>
      </c>
      <c r="R71" s="10">
        <f t="shared" si="8"/>
        <v>2</v>
      </c>
      <c r="S71" s="10" t="str">
        <f t="shared" si="9"/>
        <v>2025-02</v>
      </c>
    </row>
    <row r="72" ht="14.25" customHeight="1">
      <c r="A72" s="7" t="s">
        <v>98</v>
      </c>
      <c r="B72" s="8">
        <v>45724.0</v>
      </c>
      <c r="C72" s="7" t="s">
        <v>33</v>
      </c>
      <c r="D72" s="7" t="s">
        <v>29</v>
      </c>
      <c r="E72" s="9">
        <v>6841.14</v>
      </c>
      <c r="F72" s="9">
        <v>6892.92</v>
      </c>
      <c r="G72" s="9">
        <v>138384.0</v>
      </c>
      <c r="H72" s="9">
        <v>3042.0</v>
      </c>
      <c r="I72" s="9">
        <v>323.0</v>
      </c>
      <c r="J72" s="9">
        <v>12777.5</v>
      </c>
      <c r="K72" s="10">
        <f t="shared" si="1"/>
        <v>0.02198231009</v>
      </c>
      <c r="L72" s="10">
        <f t="shared" si="2"/>
        <v>2.26591716</v>
      </c>
      <c r="M72" s="10">
        <f t="shared" si="3"/>
        <v>21.3403096</v>
      </c>
      <c r="N72" s="10">
        <f t="shared" si="4"/>
        <v>1.853713666</v>
      </c>
      <c r="O72" s="10">
        <f t="shared" si="5"/>
        <v>5884.58</v>
      </c>
      <c r="P72" s="10">
        <f t="shared" si="6"/>
        <v>46.05423596</v>
      </c>
      <c r="Q72" s="10">
        <f t="shared" si="7"/>
        <v>2025</v>
      </c>
      <c r="R72" s="10">
        <f t="shared" si="8"/>
        <v>3</v>
      </c>
      <c r="S72" s="10" t="str">
        <f t="shared" si="9"/>
        <v>2025-03</v>
      </c>
    </row>
    <row r="73" ht="14.25" customHeight="1">
      <c r="A73" s="7" t="s">
        <v>99</v>
      </c>
      <c r="B73" s="8">
        <v>45785.0</v>
      </c>
      <c r="C73" s="7" t="s">
        <v>31</v>
      </c>
      <c r="D73" s="7" t="s">
        <v>26</v>
      </c>
      <c r="E73" s="9">
        <v>4569.89</v>
      </c>
      <c r="F73" s="9">
        <v>4632.29</v>
      </c>
      <c r="G73" s="9">
        <v>72528.0</v>
      </c>
      <c r="H73" s="9">
        <v>1306.0</v>
      </c>
      <c r="I73" s="9">
        <v>139.0</v>
      </c>
      <c r="J73" s="9">
        <v>3769.33</v>
      </c>
      <c r="K73" s="10">
        <f t="shared" si="1"/>
        <v>0.01800683874</v>
      </c>
      <c r="L73" s="10">
        <f t="shared" si="2"/>
        <v>3.546929556</v>
      </c>
      <c r="M73" s="10">
        <f t="shared" si="3"/>
        <v>33.32582734</v>
      </c>
      <c r="N73" s="10">
        <f t="shared" si="4"/>
        <v>0.813707691</v>
      </c>
      <c r="O73" s="10">
        <f t="shared" si="5"/>
        <v>-862.96</v>
      </c>
      <c r="P73" s="10">
        <f t="shared" si="6"/>
        <v>-22.89425442</v>
      </c>
      <c r="Q73" s="10">
        <f t="shared" si="7"/>
        <v>2025</v>
      </c>
      <c r="R73" s="10">
        <f t="shared" si="8"/>
        <v>5</v>
      </c>
      <c r="S73" s="10" t="str">
        <f t="shared" si="9"/>
        <v>2025-05</v>
      </c>
    </row>
    <row r="74" ht="14.25" customHeight="1">
      <c r="A74" s="7" t="s">
        <v>100</v>
      </c>
      <c r="B74" s="8">
        <v>45712.0</v>
      </c>
      <c r="C74" s="7" t="s">
        <v>33</v>
      </c>
      <c r="D74" s="7" t="s">
        <v>29</v>
      </c>
      <c r="E74" s="9">
        <v>5277.8</v>
      </c>
      <c r="F74" s="9">
        <v>5404.19</v>
      </c>
      <c r="G74" s="9">
        <v>173181.0</v>
      </c>
      <c r="H74" s="9">
        <v>6365.0</v>
      </c>
      <c r="I74" s="9">
        <v>651.0</v>
      </c>
      <c r="J74" s="9">
        <v>25707.33</v>
      </c>
      <c r="K74" s="10">
        <f t="shared" si="1"/>
        <v>0.03675345448</v>
      </c>
      <c r="L74" s="10">
        <f t="shared" si="2"/>
        <v>0.8490479183</v>
      </c>
      <c r="M74" s="10">
        <f t="shared" si="3"/>
        <v>8.301367127</v>
      </c>
      <c r="N74" s="10">
        <f t="shared" si="4"/>
        <v>4.756925645</v>
      </c>
      <c r="O74" s="10">
        <f t="shared" si="5"/>
        <v>20303.14</v>
      </c>
      <c r="P74" s="10">
        <f t="shared" si="6"/>
        <v>78.97801911</v>
      </c>
      <c r="Q74" s="10">
        <f t="shared" si="7"/>
        <v>2025</v>
      </c>
      <c r="R74" s="10">
        <f t="shared" si="8"/>
        <v>2</v>
      </c>
      <c r="S74" s="10" t="str">
        <f t="shared" si="9"/>
        <v>2025-02</v>
      </c>
    </row>
    <row r="75" ht="14.25" customHeight="1">
      <c r="A75" s="7" t="s">
        <v>101</v>
      </c>
      <c r="B75" s="8">
        <v>45674.0</v>
      </c>
      <c r="C75" s="7" t="s">
        <v>23</v>
      </c>
      <c r="D75" s="7" t="s">
        <v>26</v>
      </c>
      <c r="E75" s="9">
        <v>8944.56</v>
      </c>
      <c r="F75" s="9">
        <v>8920.27</v>
      </c>
      <c r="G75" s="9">
        <v>107709.0</v>
      </c>
      <c r="H75" s="9">
        <v>2586.0</v>
      </c>
      <c r="I75" s="9">
        <v>314.0</v>
      </c>
      <c r="J75" s="9">
        <v>11633.47</v>
      </c>
      <c r="K75" s="10">
        <f t="shared" si="1"/>
        <v>0.02400913573</v>
      </c>
      <c r="L75" s="10">
        <f t="shared" si="2"/>
        <v>3.449447022</v>
      </c>
      <c r="M75" s="10">
        <f t="shared" si="3"/>
        <v>28.40850318</v>
      </c>
      <c r="N75" s="10">
        <f t="shared" si="4"/>
        <v>1.304161197</v>
      </c>
      <c r="O75" s="10">
        <f t="shared" si="5"/>
        <v>2713.2</v>
      </c>
      <c r="P75" s="10">
        <f t="shared" si="6"/>
        <v>23.32236212</v>
      </c>
      <c r="Q75" s="10">
        <f t="shared" si="7"/>
        <v>2025</v>
      </c>
      <c r="R75" s="10">
        <f t="shared" si="8"/>
        <v>1</v>
      </c>
      <c r="S75" s="10" t="str">
        <f t="shared" si="9"/>
        <v>2025-01</v>
      </c>
    </row>
    <row r="76" ht="14.25" customHeight="1">
      <c r="A76" s="7" t="s">
        <v>102</v>
      </c>
      <c r="B76" s="8">
        <v>45757.0</v>
      </c>
      <c r="C76" s="7" t="s">
        <v>28</v>
      </c>
      <c r="D76" s="7" t="s">
        <v>24</v>
      </c>
      <c r="E76" s="9">
        <v>3655.72</v>
      </c>
      <c r="F76" s="9">
        <v>3327.86</v>
      </c>
      <c r="G76" s="9">
        <v>86473.0</v>
      </c>
      <c r="H76" s="9">
        <v>2750.0</v>
      </c>
      <c r="I76" s="9">
        <v>491.0</v>
      </c>
      <c r="J76" s="9">
        <v>13726.43</v>
      </c>
      <c r="K76" s="10">
        <f t="shared" si="1"/>
        <v>0.0318018341</v>
      </c>
      <c r="L76" s="10">
        <f t="shared" si="2"/>
        <v>1.210130909</v>
      </c>
      <c r="M76" s="10">
        <f t="shared" si="3"/>
        <v>6.777718941</v>
      </c>
      <c r="N76" s="10">
        <f t="shared" si="4"/>
        <v>4.12470176</v>
      </c>
      <c r="O76" s="10">
        <f t="shared" si="5"/>
        <v>10398.57</v>
      </c>
      <c r="P76" s="10">
        <f t="shared" si="6"/>
        <v>75.75582289</v>
      </c>
      <c r="Q76" s="10">
        <f t="shared" si="7"/>
        <v>2025</v>
      </c>
      <c r="R76" s="10">
        <f t="shared" si="8"/>
        <v>4</v>
      </c>
      <c r="S76" s="10" t="str">
        <f t="shared" si="9"/>
        <v>2025-04</v>
      </c>
    </row>
    <row r="77" ht="14.25" customHeight="1">
      <c r="A77" s="7" t="s">
        <v>103</v>
      </c>
      <c r="B77" s="8">
        <v>45818.0</v>
      </c>
      <c r="C77" s="7" t="s">
        <v>33</v>
      </c>
      <c r="D77" s="7" t="s">
        <v>26</v>
      </c>
      <c r="E77" s="9">
        <v>4707.93</v>
      </c>
      <c r="F77" s="9">
        <v>5140.6</v>
      </c>
      <c r="G77" s="9">
        <v>94803.0</v>
      </c>
      <c r="H77" s="9">
        <v>2004.0</v>
      </c>
      <c r="I77" s="9">
        <v>320.0</v>
      </c>
      <c r="J77" s="9">
        <v>10173.74</v>
      </c>
      <c r="K77" s="10">
        <f t="shared" si="1"/>
        <v>0.02113857156</v>
      </c>
      <c r="L77" s="10">
        <f t="shared" si="2"/>
        <v>2.565169661</v>
      </c>
      <c r="M77" s="10">
        <f t="shared" si="3"/>
        <v>16.064375</v>
      </c>
      <c r="N77" s="10">
        <f t="shared" si="4"/>
        <v>1.979095825</v>
      </c>
      <c r="O77" s="10">
        <f t="shared" si="5"/>
        <v>5033.14</v>
      </c>
      <c r="P77" s="10">
        <f t="shared" si="6"/>
        <v>49.47187563</v>
      </c>
      <c r="Q77" s="10">
        <f t="shared" si="7"/>
        <v>2025</v>
      </c>
      <c r="R77" s="10">
        <f t="shared" si="8"/>
        <v>6</v>
      </c>
      <c r="S77" s="10" t="str">
        <f t="shared" si="9"/>
        <v>2025-06</v>
      </c>
    </row>
    <row r="78" ht="14.25" customHeight="1">
      <c r="A78" s="7" t="s">
        <v>104</v>
      </c>
      <c r="B78" s="8">
        <v>45636.0</v>
      </c>
      <c r="C78" s="7" t="s">
        <v>28</v>
      </c>
      <c r="D78" s="7" t="s">
        <v>21</v>
      </c>
      <c r="E78" s="9">
        <v>9244.33</v>
      </c>
      <c r="F78" s="9">
        <v>9145.8</v>
      </c>
      <c r="G78" s="9">
        <v>55244.0</v>
      </c>
      <c r="H78" s="9">
        <v>2028.0</v>
      </c>
      <c r="I78" s="9">
        <v>320.0</v>
      </c>
      <c r="J78" s="9">
        <v>14030.19</v>
      </c>
      <c r="K78" s="10">
        <f t="shared" si="1"/>
        <v>0.03670986895</v>
      </c>
      <c r="L78" s="10">
        <f t="shared" si="2"/>
        <v>4.509763314</v>
      </c>
      <c r="M78" s="10">
        <f t="shared" si="3"/>
        <v>28.580625</v>
      </c>
      <c r="N78" s="10">
        <f t="shared" si="4"/>
        <v>1.534058256</v>
      </c>
      <c r="O78" s="10">
        <f t="shared" si="5"/>
        <v>4884.39</v>
      </c>
      <c r="P78" s="10">
        <f t="shared" si="6"/>
        <v>34.81342733</v>
      </c>
      <c r="Q78" s="10">
        <f t="shared" si="7"/>
        <v>2024</v>
      </c>
      <c r="R78" s="10">
        <f t="shared" si="8"/>
        <v>12</v>
      </c>
      <c r="S78" s="10" t="str">
        <f t="shared" si="9"/>
        <v>2024-12</v>
      </c>
    </row>
    <row r="79" ht="14.25" customHeight="1">
      <c r="A79" s="7" t="s">
        <v>105</v>
      </c>
      <c r="B79" s="8">
        <v>45713.0</v>
      </c>
      <c r="C79" s="7" t="s">
        <v>20</v>
      </c>
      <c r="D79" s="7" t="s">
        <v>29</v>
      </c>
      <c r="E79" s="9">
        <v>6518.46</v>
      </c>
      <c r="F79" s="9">
        <v>6342.93</v>
      </c>
      <c r="G79" s="9">
        <v>103713.0</v>
      </c>
      <c r="H79" s="9">
        <v>2193.0</v>
      </c>
      <c r="I79" s="9">
        <v>165.0</v>
      </c>
      <c r="J79" s="9">
        <v>5737.96</v>
      </c>
      <c r="K79" s="10">
        <f t="shared" si="1"/>
        <v>0.02114489023</v>
      </c>
      <c r="L79" s="10">
        <f t="shared" si="2"/>
        <v>2.892352941</v>
      </c>
      <c r="M79" s="10">
        <f t="shared" si="3"/>
        <v>38.442</v>
      </c>
      <c r="N79" s="10">
        <f t="shared" si="4"/>
        <v>0.9046229424</v>
      </c>
      <c r="O79" s="10">
        <f t="shared" si="5"/>
        <v>-604.97</v>
      </c>
      <c r="P79" s="10">
        <f t="shared" si="6"/>
        <v>-10.54329413</v>
      </c>
      <c r="Q79" s="10">
        <f t="shared" si="7"/>
        <v>2025</v>
      </c>
      <c r="R79" s="10">
        <f t="shared" si="8"/>
        <v>2</v>
      </c>
      <c r="S79" s="10" t="str">
        <f t="shared" si="9"/>
        <v>2025-02</v>
      </c>
    </row>
    <row r="80" ht="14.25" customHeight="1">
      <c r="A80" s="7" t="s">
        <v>106</v>
      </c>
      <c r="B80" s="8">
        <v>45725.0</v>
      </c>
      <c r="C80" s="7" t="s">
        <v>20</v>
      </c>
      <c r="D80" s="7" t="s">
        <v>21</v>
      </c>
      <c r="E80" s="9">
        <v>4366.7</v>
      </c>
      <c r="F80" s="9">
        <v>4439.78</v>
      </c>
      <c r="G80" s="9">
        <v>110834.0</v>
      </c>
      <c r="H80" s="9">
        <v>4636.0</v>
      </c>
      <c r="I80" s="9">
        <v>797.0</v>
      </c>
      <c r="J80" s="9">
        <v>22653.27</v>
      </c>
      <c r="K80" s="10">
        <f t="shared" si="1"/>
        <v>0.04182831983</v>
      </c>
      <c r="L80" s="10">
        <f t="shared" si="2"/>
        <v>0.9576747196</v>
      </c>
      <c r="M80" s="10">
        <f t="shared" si="3"/>
        <v>5.570614806</v>
      </c>
      <c r="N80" s="10">
        <f t="shared" si="4"/>
        <v>5.102340657</v>
      </c>
      <c r="O80" s="10">
        <f t="shared" si="5"/>
        <v>18213.49</v>
      </c>
      <c r="P80" s="10">
        <f t="shared" si="6"/>
        <v>80.4011518</v>
      </c>
      <c r="Q80" s="10">
        <f t="shared" si="7"/>
        <v>2025</v>
      </c>
      <c r="R80" s="10">
        <f t="shared" si="8"/>
        <v>3</v>
      </c>
      <c r="S80" s="10" t="str">
        <f t="shared" si="9"/>
        <v>2025-03</v>
      </c>
    </row>
    <row r="81" ht="14.25" customHeight="1">
      <c r="A81" s="7" t="s">
        <v>107</v>
      </c>
      <c r="B81" s="8">
        <v>45731.0</v>
      </c>
      <c r="C81" s="7" t="s">
        <v>23</v>
      </c>
      <c r="D81" s="7" t="s">
        <v>29</v>
      </c>
      <c r="E81" s="9">
        <v>3170.21</v>
      </c>
      <c r="F81" s="9">
        <v>3150.05</v>
      </c>
      <c r="G81" s="9">
        <v>122735.0</v>
      </c>
      <c r="H81" s="9">
        <v>2941.0</v>
      </c>
      <c r="I81" s="9">
        <v>274.0</v>
      </c>
      <c r="J81" s="9">
        <v>6935.85</v>
      </c>
      <c r="K81" s="10">
        <f t="shared" si="1"/>
        <v>0.02396219497</v>
      </c>
      <c r="L81" s="10">
        <f t="shared" si="2"/>
        <v>1.071081265</v>
      </c>
      <c r="M81" s="10">
        <f t="shared" si="3"/>
        <v>11.49653285</v>
      </c>
      <c r="N81" s="10">
        <f t="shared" si="4"/>
        <v>2.201822193</v>
      </c>
      <c r="O81" s="10">
        <f t="shared" si="5"/>
        <v>3785.8</v>
      </c>
      <c r="P81" s="10">
        <f t="shared" si="6"/>
        <v>54.58307201</v>
      </c>
      <c r="Q81" s="10">
        <f t="shared" si="7"/>
        <v>2025</v>
      </c>
      <c r="R81" s="10">
        <f t="shared" si="8"/>
        <v>3</v>
      </c>
      <c r="S81" s="10" t="str">
        <f t="shared" si="9"/>
        <v>2025-03</v>
      </c>
    </row>
    <row r="82" ht="14.25" customHeight="1">
      <c r="A82" s="7" t="s">
        <v>108</v>
      </c>
      <c r="B82" s="8">
        <v>45671.0</v>
      </c>
      <c r="C82" s="7" t="s">
        <v>31</v>
      </c>
      <c r="D82" s="7" t="s">
        <v>29</v>
      </c>
      <c r="E82" s="9">
        <v>9583.21</v>
      </c>
      <c r="F82" s="9">
        <v>10409.08</v>
      </c>
      <c r="G82" s="9">
        <v>188008.0</v>
      </c>
      <c r="H82" s="9">
        <v>8592.0</v>
      </c>
      <c r="I82" s="9">
        <v>165.0</v>
      </c>
      <c r="J82" s="9">
        <v>7828.58</v>
      </c>
      <c r="K82" s="10">
        <f t="shared" si="1"/>
        <v>0.04570018297</v>
      </c>
      <c r="L82" s="10">
        <f t="shared" si="2"/>
        <v>1.211485102</v>
      </c>
      <c r="M82" s="10">
        <f t="shared" si="3"/>
        <v>63.08533333</v>
      </c>
      <c r="N82" s="10">
        <f t="shared" si="4"/>
        <v>0.7520914432</v>
      </c>
      <c r="O82" s="10">
        <f t="shared" si="5"/>
        <v>-2580.5</v>
      </c>
      <c r="P82" s="10">
        <f t="shared" si="6"/>
        <v>-32.96255515</v>
      </c>
      <c r="Q82" s="10">
        <f t="shared" si="7"/>
        <v>2025</v>
      </c>
      <c r="R82" s="10">
        <f t="shared" si="8"/>
        <v>1</v>
      </c>
      <c r="S82" s="10" t="str">
        <f t="shared" si="9"/>
        <v>2025-01</v>
      </c>
    </row>
    <row r="83" ht="14.25" customHeight="1">
      <c r="A83" s="7" t="s">
        <v>109</v>
      </c>
      <c r="B83" s="8">
        <v>45706.0</v>
      </c>
      <c r="C83" s="7" t="s">
        <v>20</v>
      </c>
      <c r="D83" s="7" t="s">
        <v>29</v>
      </c>
      <c r="E83" s="9">
        <v>5591.11</v>
      </c>
      <c r="F83" s="9">
        <v>4498.81</v>
      </c>
      <c r="G83" s="9">
        <v>139883.0</v>
      </c>
      <c r="H83" s="9">
        <v>4226.0</v>
      </c>
      <c r="I83" s="9">
        <v>835.0</v>
      </c>
      <c r="J83" s="9">
        <v>39954.38</v>
      </c>
      <c r="K83" s="10">
        <f t="shared" si="1"/>
        <v>0.03021096202</v>
      </c>
      <c r="L83" s="10">
        <f t="shared" si="2"/>
        <v>1.064555135</v>
      </c>
      <c r="M83" s="10">
        <f t="shared" si="3"/>
        <v>5.387796407</v>
      </c>
      <c r="N83" s="10">
        <f t="shared" si="4"/>
        <v>8.881099669</v>
      </c>
      <c r="O83" s="10">
        <f t="shared" si="5"/>
        <v>35455.57</v>
      </c>
      <c r="P83" s="10">
        <f t="shared" si="6"/>
        <v>88.74013312</v>
      </c>
      <c r="Q83" s="10">
        <f t="shared" si="7"/>
        <v>2025</v>
      </c>
      <c r="R83" s="10">
        <f t="shared" si="8"/>
        <v>2</v>
      </c>
      <c r="S83" s="10" t="str">
        <f t="shared" si="9"/>
        <v>2025-02</v>
      </c>
    </row>
    <row r="84" ht="14.25" customHeight="1">
      <c r="A84" s="7" t="s">
        <v>110</v>
      </c>
      <c r="B84" s="8">
        <v>45701.0</v>
      </c>
      <c r="C84" s="7" t="s">
        <v>31</v>
      </c>
      <c r="D84" s="7" t="s">
        <v>29</v>
      </c>
      <c r="E84" s="9">
        <v>5997.29</v>
      </c>
      <c r="F84" s="9">
        <v>6537.02</v>
      </c>
      <c r="G84" s="9">
        <v>138325.0</v>
      </c>
      <c r="H84" s="9">
        <v>4027.0</v>
      </c>
      <c r="I84" s="9">
        <v>453.0</v>
      </c>
      <c r="J84" s="9">
        <v>22155.6</v>
      </c>
      <c r="K84" s="10">
        <f t="shared" si="1"/>
        <v>0.02911259714</v>
      </c>
      <c r="L84" s="10">
        <f t="shared" si="2"/>
        <v>1.62329774</v>
      </c>
      <c r="M84" s="10">
        <f t="shared" si="3"/>
        <v>14.43050773</v>
      </c>
      <c r="N84" s="10">
        <f t="shared" si="4"/>
        <v>3.38925076</v>
      </c>
      <c r="O84" s="10">
        <f t="shared" si="5"/>
        <v>15618.58</v>
      </c>
      <c r="P84" s="10">
        <f t="shared" si="6"/>
        <v>70.49495387</v>
      </c>
      <c r="Q84" s="10">
        <f t="shared" si="7"/>
        <v>2025</v>
      </c>
      <c r="R84" s="10">
        <f t="shared" si="8"/>
        <v>2</v>
      </c>
      <c r="S84" s="10" t="str">
        <f t="shared" si="9"/>
        <v>2025-02</v>
      </c>
    </row>
    <row r="85" ht="14.25" customHeight="1">
      <c r="A85" s="7" t="s">
        <v>111</v>
      </c>
      <c r="B85" s="8">
        <v>45763.0</v>
      </c>
      <c r="C85" s="7" t="s">
        <v>20</v>
      </c>
      <c r="D85" s="7" t="s">
        <v>29</v>
      </c>
      <c r="E85" s="9">
        <v>8971.07</v>
      </c>
      <c r="F85" s="9">
        <v>7969.31</v>
      </c>
      <c r="G85" s="9">
        <v>82264.0</v>
      </c>
      <c r="H85" s="9">
        <v>3537.0</v>
      </c>
      <c r="I85" s="9">
        <v>673.0</v>
      </c>
      <c r="J85" s="9">
        <v>21235.12</v>
      </c>
      <c r="K85" s="10">
        <f t="shared" si="1"/>
        <v>0.04299572109</v>
      </c>
      <c r="L85" s="10">
        <f t="shared" si="2"/>
        <v>2.253126944</v>
      </c>
      <c r="M85" s="10">
        <f t="shared" si="3"/>
        <v>11.84147103</v>
      </c>
      <c r="N85" s="10">
        <f t="shared" si="4"/>
        <v>2.664612118</v>
      </c>
      <c r="O85" s="10">
        <f t="shared" si="5"/>
        <v>13265.81</v>
      </c>
      <c r="P85" s="10">
        <f t="shared" si="6"/>
        <v>62.47108564</v>
      </c>
      <c r="Q85" s="10">
        <f t="shared" si="7"/>
        <v>2025</v>
      </c>
      <c r="R85" s="10">
        <f t="shared" si="8"/>
        <v>4</v>
      </c>
      <c r="S85" s="10" t="str">
        <f t="shared" si="9"/>
        <v>2025-04</v>
      </c>
    </row>
    <row r="86" ht="14.25" customHeight="1">
      <c r="A86" s="7" t="s">
        <v>112</v>
      </c>
      <c r="B86" s="8">
        <v>45642.0</v>
      </c>
      <c r="C86" s="7" t="s">
        <v>23</v>
      </c>
      <c r="D86" s="7" t="s">
        <v>21</v>
      </c>
      <c r="E86" s="9">
        <v>8957.96</v>
      </c>
      <c r="F86" s="9">
        <v>8018.06</v>
      </c>
      <c r="G86" s="9">
        <v>88706.0</v>
      </c>
      <c r="H86" s="9">
        <v>1251.0</v>
      </c>
      <c r="I86" s="9">
        <v>146.0</v>
      </c>
      <c r="J86" s="9">
        <v>3662.38</v>
      </c>
      <c r="K86" s="10">
        <f t="shared" si="1"/>
        <v>0.01410276644</v>
      </c>
      <c r="L86" s="10">
        <f t="shared" si="2"/>
        <v>6.409320544</v>
      </c>
      <c r="M86" s="10">
        <f t="shared" si="3"/>
        <v>54.91821918</v>
      </c>
      <c r="N86" s="10">
        <f t="shared" si="4"/>
        <v>0.45676635</v>
      </c>
      <c r="O86" s="10">
        <f t="shared" si="5"/>
        <v>-4355.68</v>
      </c>
      <c r="P86" s="10">
        <f t="shared" si="6"/>
        <v>-118.9303131</v>
      </c>
      <c r="Q86" s="10">
        <f t="shared" si="7"/>
        <v>2024</v>
      </c>
      <c r="R86" s="10">
        <f t="shared" si="8"/>
        <v>12</v>
      </c>
      <c r="S86" s="10" t="str">
        <f t="shared" si="9"/>
        <v>2024-12</v>
      </c>
    </row>
    <row r="87" ht="14.25" customHeight="1">
      <c r="A87" s="7" t="s">
        <v>113</v>
      </c>
      <c r="B87" s="8">
        <v>45693.0</v>
      </c>
      <c r="C87" s="7" t="s">
        <v>20</v>
      </c>
      <c r="D87" s="7" t="s">
        <v>26</v>
      </c>
      <c r="E87" s="9">
        <v>6897.61</v>
      </c>
      <c r="F87" s="9">
        <v>7455.26</v>
      </c>
      <c r="G87" s="9">
        <v>141755.0</v>
      </c>
      <c r="H87" s="9">
        <v>1695.0</v>
      </c>
      <c r="I87" s="9">
        <v>122.0</v>
      </c>
      <c r="J87" s="9">
        <v>4987.47</v>
      </c>
      <c r="K87" s="10">
        <f t="shared" si="1"/>
        <v>0.01195725019</v>
      </c>
      <c r="L87" s="10">
        <f t="shared" si="2"/>
        <v>4.398383481</v>
      </c>
      <c r="M87" s="10">
        <f t="shared" si="3"/>
        <v>61.10868852</v>
      </c>
      <c r="N87" s="10">
        <f t="shared" si="4"/>
        <v>0.6689867288</v>
      </c>
      <c r="O87" s="10">
        <f t="shared" si="5"/>
        <v>-2467.79</v>
      </c>
      <c r="P87" s="10">
        <f t="shared" si="6"/>
        <v>-49.47979637</v>
      </c>
      <c r="Q87" s="10">
        <f t="shared" si="7"/>
        <v>2025</v>
      </c>
      <c r="R87" s="10">
        <f t="shared" si="8"/>
        <v>2</v>
      </c>
      <c r="S87" s="10" t="str">
        <f t="shared" si="9"/>
        <v>2025-02</v>
      </c>
    </row>
    <row r="88" ht="14.25" customHeight="1">
      <c r="A88" s="7" t="s">
        <v>114</v>
      </c>
      <c r="B88" s="8">
        <v>45639.0</v>
      </c>
      <c r="C88" s="7" t="s">
        <v>28</v>
      </c>
      <c r="D88" s="7" t="s">
        <v>26</v>
      </c>
      <c r="E88" s="9">
        <v>6990.43</v>
      </c>
      <c r="F88" s="9">
        <v>5796.14</v>
      </c>
      <c r="G88" s="9">
        <v>97675.0</v>
      </c>
      <c r="H88" s="9">
        <v>4253.0</v>
      </c>
      <c r="I88" s="9">
        <v>420.0</v>
      </c>
      <c r="J88" s="9">
        <v>16149.09</v>
      </c>
      <c r="K88" s="10">
        <f t="shared" si="1"/>
        <v>0.04354235987</v>
      </c>
      <c r="L88" s="10">
        <f t="shared" si="2"/>
        <v>1.362835645</v>
      </c>
      <c r="M88" s="10">
        <f t="shared" si="3"/>
        <v>13.80033333</v>
      </c>
      <c r="N88" s="10">
        <f t="shared" si="4"/>
        <v>2.786180113</v>
      </c>
      <c r="O88" s="10">
        <f t="shared" si="5"/>
        <v>10352.95</v>
      </c>
      <c r="P88" s="10">
        <f t="shared" si="6"/>
        <v>64.10856587</v>
      </c>
      <c r="Q88" s="10">
        <f t="shared" si="7"/>
        <v>2024</v>
      </c>
      <c r="R88" s="10">
        <f t="shared" si="8"/>
        <v>12</v>
      </c>
      <c r="S88" s="10" t="str">
        <f t="shared" si="9"/>
        <v>2024-12</v>
      </c>
    </row>
    <row r="89" ht="14.25" customHeight="1">
      <c r="A89" s="7" t="s">
        <v>115</v>
      </c>
      <c r="B89" s="8">
        <v>45766.0</v>
      </c>
      <c r="C89" s="7" t="s">
        <v>33</v>
      </c>
      <c r="D89" s="7" t="s">
        <v>26</v>
      </c>
      <c r="E89" s="9">
        <v>9930.38</v>
      </c>
      <c r="F89" s="9">
        <v>8361.63</v>
      </c>
      <c r="G89" s="9">
        <v>155967.0</v>
      </c>
      <c r="H89" s="9">
        <v>1655.0</v>
      </c>
      <c r="I89" s="9">
        <v>74.0</v>
      </c>
      <c r="J89" s="9">
        <v>2630.69</v>
      </c>
      <c r="K89" s="10">
        <f t="shared" si="1"/>
        <v>0.01061121904</v>
      </c>
      <c r="L89" s="10">
        <f t="shared" si="2"/>
        <v>5.052344411</v>
      </c>
      <c r="M89" s="10">
        <f t="shared" si="3"/>
        <v>112.995</v>
      </c>
      <c r="N89" s="10">
        <f t="shared" si="4"/>
        <v>0.314614495</v>
      </c>
      <c r="O89" s="10">
        <f t="shared" si="5"/>
        <v>-5730.94</v>
      </c>
      <c r="P89" s="10">
        <f t="shared" si="6"/>
        <v>-217.8493095</v>
      </c>
      <c r="Q89" s="10">
        <f t="shared" si="7"/>
        <v>2025</v>
      </c>
      <c r="R89" s="10">
        <f t="shared" si="8"/>
        <v>4</v>
      </c>
      <c r="S89" s="10" t="str">
        <f t="shared" si="9"/>
        <v>2025-04</v>
      </c>
    </row>
    <row r="90" ht="14.25" customHeight="1">
      <c r="A90" s="7" t="s">
        <v>116</v>
      </c>
      <c r="B90" s="8">
        <v>45645.0</v>
      </c>
      <c r="C90" s="7" t="s">
        <v>28</v>
      </c>
      <c r="D90" s="7" t="s">
        <v>24</v>
      </c>
      <c r="E90" s="9">
        <v>9141.61</v>
      </c>
      <c r="F90" s="9">
        <v>9344.83</v>
      </c>
      <c r="G90" s="9">
        <v>154219.0</v>
      </c>
      <c r="H90" s="9">
        <v>2086.0</v>
      </c>
      <c r="I90" s="9">
        <v>249.0</v>
      </c>
      <c r="J90" s="9">
        <v>10186.71</v>
      </c>
      <c r="K90" s="10">
        <f t="shared" si="1"/>
        <v>0.01352621921</v>
      </c>
      <c r="L90" s="10">
        <f t="shared" si="2"/>
        <v>4.479784276</v>
      </c>
      <c r="M90" s="10">
        <f t="shared" si="3"/>
        <v>37.52943775</v>
      </c>
      <c r="N90" s="10">
        <f t="shared" si="4"/>
        <v>1.090090456</v>
      </c>
      <c r="O90" s="10">
        <f t="shared" si="5"/>
        <v>841.88</v>
      </c>
      <c r="P90" s="10">
        <f t="shared" si="6"/>
        <v>8.264493639</v>
      </c>
      <c r="Q90" s="10">
        <f t="shared" si="7"/>
        <v>2024</v>
      </c>
      <c r="R90" s="10">
        <f t="shared" si="8"/>
        <v>12</v>
      </c>
      <c r="S90" s="10" t="str">
        <f t="shared" si="9"/>
        <v>2024-12</v>
      </c>
    </row>
    <row r="91" ht="14.25" customHeight="1">
      <c r="A91" s="7" t="s">
        <v>117</v>
      </c>
      <c r="B91" s="8">
        <v>45784.0</v>
      </c>
      <c r="C91" s="7" t="s">
        <v>23</v>
      </c>
      <c r="D91" s="7" t="s">
        <v>21</v>
      </c>
      <c r="E91" s="9">
        <v>7917.39</v>
      </c>
      <c r="F91" s="9">
        <v>7187.78</v>
      </c>
      <c r="G91" s="9">
        <v>133842.0</v>
      </c>
      <c r="H91" s="9">
        <v>1394.0</v>
      </c>
      <c r="I91" s="9">
        <v>197.0</v>
      </c>
      <c r="J91" s="9">
        <v>5675.13</v>
      </c>
      <c r="K91" s="10">
        <f t="shared" si="1"/>
        <v>0.01041526576</v>
      </c>
      <c r="L91" s="10">
        <f t="shared" si="2"/>
        <v>5.156226686</v>
      </c>
      <c r="M91" s="10">
        <f t="shared" si="3"/>
        <v>36.48619289</v>
      </c>
      <c r="N91" s="10">
        <f t="shared" si="4"/>
        <v>0.7895525461</v>
      </c>
      <c r="O91" s="10">
        <f t="shared" si="5"/>
        <v>-1512.65</v>
      </c>
      <c r="P91" s="10">
        <f t="shared" si="6"/>
        <v>-26.65401497</v>
      </c>
      <c r="Q91" s="10">
        <f t="shared" si="7"/>
        <v>2025</v>
      </c>
      <c r="R91" s="10">
        <f t="shared" si="8"/>
        <v>5</v>
      </c>
      <c r="S91" s="10" t="str">
        <f t="shared" si="9"/>
        <v>2025-05</v>
      </c>
    </row>
    <row r="92" ht="14.25" customHeight="1">
      <c r="A92" s="7" t="s">
        <v>118</v>
      </c>
      <c r="B92" s="8">
        <v>45662.0</v>
      </c>
      <c r="C92" s="7" t="s">
        <v>31</v>
      </c>
      <c r="D92" s="7" t="s">
        <v>26</v>
      </c>
      <c r="E92" s="9">
        <v>8665.53</v>
      </c>
      <c r="F92" s="9">
        <v>9038.44</v>
      </c>
      <c r="G92" s="9">
        <v>126153.0</v>
      </c>
      <c r="H92" s="9">
        <v>6045.0</v>
      </c>
      <c r="I92" s="9">
        <v>748.0</v>
      </c>
      <c r="J92" s="9">
        <v>34417.1</v>
      </c>
      <c r="K92" s="10">
        <f t="shared" si="1"/>
        <v>0.04791800433</v>
      </c>
      <c r="L92" s="10">
        <f t="shared" si="2"/>
        <v>1.495192721</v>
      </c>
      <c r="M92" s="10">
        <f t="shared" si="3"/>
        <v>12.08347594</v>
      </c>
      <c r="N92" s="10">
        <f t="shared" si="4"/>
        <v>3.807858436</v>
      </c>
      <c r="O92" s="10">
        <f t="shared" si="5"/>
        <v>25378.66</v>
      </c>
      <c r="P92" s="10">
        <f t="shared" si="6"/>
        <v>73.73851952</v>
      </c>
      <c r="Q92" s="10">
        <f t="shared" si="7"/>
        <v>2025</v>
      </c>
      <c r="R92" s="10">
        <f t="shared" si="8"/>
        <v>1</v>
      </c>
      <c r="S92" s="10" t="str">
        <f t="shared" si="9"/>
        <v>2025-01</v>
      </c>
    </row>
    <row r="93" ht="14.25" customHeight="1">
      <c r="A93" s="7" t="s">
        <v>119</v>
      </c>
      <c r="B93" s="8">
        <v>45642.0</v>
      </c>
      <c r="C93" s="7" t="s">
        <v>20</v>
      </c>
      <c r="D93" s="7" t="s">
        <v>24</v>
      </c>
      <c r="E93" s="9">
        <v>9392.68</v>
      </c>
      <c r="F93" s="9">
        <v>8955.01</v>
      </c>
      <c r="G93" s="9">
        <v>83386.0</v>
      </c>
      <c r="H93" s="9">
        <v>1255.0</v>
      </c>
      <c r="I93" s="9">
        <v>90.0</v>
      </c>
      <c r="J93" s="9">
        <v>3154.09</v>
      </c>
      <c r="K93" s="10">
        <f t="shared" si="1"/>
        <v>0.01505048809</v>
      </c>
      <c r="L93" s="10">
        <f t="shared" si="2"/>
        <v>7.135466135</v>
      </c>
      <c r="M93" s="10">
        <f t="shared" si="3"/>
        <v>99.50011111</v>
      </c>
      <c r="N93" s="10">
        <f t="shared" si="4"/>
        <v>0.3522151287</v>
      </c>
      <c r="O93" s="10">
        <f t="shared" si="5"/>
        <v>-5800.92</v>
      </c>
      <c r="P93" s="10">
        <f t="shared" si="6"/>
        <v>-183.9173898</v>
      </c>
      <c r="Q93" s="10">
        <f t="shared" si="7"/>
        <v>2024</v>
      </c>
      <c r="R93" s="10">
        <f t="shared" si="8"/>
        <v>12</v>
      </c>
      <c r="S93" s="10" t="str">
        <f t="shared" si="9"/>
        <v>2024-12</v>
      </c>
    </row>
    <row r="94" ht="14.25" customHeight="1">
      <c r="A94" s="7" t="s">
        <v>120</v>
      </c>
      <c r="B94" s="8">
        <v>45801.0</v>
      </c>
      <c r="C94" s="7" t="s">
        <v>31</v>
      </c>
      <c r="D94" s="7" t="s">
        <v>26</v>
      </c>
      <c r="E94" s="9">
        <v>8588.07</v>
      </c>
      <c r="F94" s="9">
        <v>8545.04</v>
      </c>
      <c r="G94" s="9">
        <v>137986.0</v>
      </c>
      <c r="H94" s="9">
        <v>6053.0</v>
      </c>
      <c r="I94" s="9">
        <v>403.0</v>
      </c>
      <c r="J94" s="9">
        <v>16546.78</v>
      </c>
      <c r="K94" s="10">
        <f t="shared" si="1"/>
        <v>0.04386676909</v>
      </c>
      <c r="L94" s="10">
        <f t="shared" si="2"/>
        <v>1.411703288</v>
      </c>
      <c r="M94" s="10">
        <f t="shared" si="3"/>
        <v>21.2035732</v>
      </c>
      <c r="N94" s="10">
        <f t="shared" si="4"/>
        <v>1.936419256</v>
      </c>
      <c r="O94" s="10">
        <f t="shared" si="5"/>
        <v>8001.74</v>
      </c>
      <c r="P94" s="10">
        <f t="shared" si="6"/>
        <v>48.35829086</v>
      </c>
      <c r="Q94" s="10">
        <f t="shared" si="7"/>
        <v>2025</v>
      </c>
      <c r="R94" s="10">
        <f t="shared" si="8"/>
        <v>5</v>
      </c>
      <c r="S94" s="10" t="str">
        <f t="shared" si="9"/>
        <v>2025-05</v>
      </c>
    </row>
    <row r="95" ht="14.25" customHeight="1">
      <c r="A95" s="7" t="s">
        <v>121</v>
      </c>
      <c r="B95" s="8">
        <v>45767.0</v>
      </c>
      <c r="C95" s="7" t="s">
        <v>23</v>
      </c>
      <c r="D95" s="7" t="s">
        <v>29</v>
      </c>
      <c r="E95" s="9">
        <v>8570.55</v>
      </c>
      <c r="F95" s="9">
        <v>9144.79</v>
      </c>
      <c r="G95" s="9">
        <v>103318.0</v>
      </c>
      <c r="H95" s="9">
        <v>2013.0</v>
      </c>
      <c r="I95" s="9">
        <v>80.0</v>
      </c>
      <c r="J95" s="9">
        <v>2411.19</v>
      </c>
      <c r="K95" s="10">
        <f t="shared" si="1"/>
        <v>0.01948353627</v>
      </c>
      <c r="L95" s="10">
        <f t="shared" si="2"/>
        <v>4.542866369</v>
      </c>
      <c r="M95" s="10">
        <f t="shared" si="3"/>
        <v>114.309875</v>
      </c>
      <c r="N95" s="10">
        <f t="shared" si="4"/>
        <v>0.2636681652</v>
      </c>
      <c r="O95" s="10">
        <f t="shared" si="5"/>
        <v>-6733.6</v>
      </c>
      <c r="P95" s="10">
        <f t="shared" si="6"/>
        <v>-279.2645955</v>
      </c>
      <c r="Q95" s="10">
        <f t="shared" si="7"/>
        <v>2025</v>
      </c>
      <c r="R95" s="10">
        <f t="shared" si="8"/>
        <v>4</v>
      </c>
      <c r="S95" s="10" t="str">
        <f t="shared" si="9"/>
        <v>2025-04</v>
      </c>
    </row>
    <row r="96" ht="14.25" customHeight="1">
      <c r="A96" s="7" t="s">
        <v>122</v>
      </c>
      <c r="B96" s="8">
        <v>45779.0</v>
      </c>
      <c r="C96" s="7" t="s">
        <v>31</v>
      </c>
      <c r="D96" s="7" t="s">
        <v>24</v>
      </c>
      <c r="E96" s="9">
        <v>5629.08</v>
      </c>
      <c r="F96" s="9">
        <v>4661.97</v>
      </c>
      <c r="G96" s="9">
        <v>163071.0</v>
      </c>
      <c r="H96" s="9">
        <v>2665.0</v>
      </c>
      <c r="I96" s="9">
        <v>80.0</v>
      </c>
      <c r="J96" s="9">
        <v>2987.87</v>
      </c>
      <c r="K96" s="10">
        <f t="shared" si="1"/>
        <v>0.01634257471</v>
      </c>
      <c r="L96" s="10">
        <f t="shared" si="2"/>
        <v>1.749332083</v>
      </c>
      <c r="M96" s="10">
        <f t="shared" si="3"/>
        <v>58.274625</v>
      </c>
      <c r="N96" s="10">
        <f t="shared" si="4"/>
        <v>0.6409028801</v>
      </c>
      <c r="O96" s="10">
        <f t="shared" si="5"/>
        <v>-1674.1</v>
      </c>
      <c r="P96" s="10">
        <f t="shared" si="6"/>
        <v>-56.02988082</v>
      </c>
      <c r="Q96" s="10">
        <f t="shared" si="7"/>
        <v>2025</v>
      </c>
      <c r="R96" s="10">
        <f t="shared" si="8"/>
        <v>5</v>
      </c>
      <c r="S96" s="10" t="str">
        <f t="shared" si="9"/>
        <v>2025-05</v>
      </c>
    </row>
    <row r="97" ht="14.25" customHeight="1">
      <c r="A97" s="7" t="s">
        <v>123</v>
      </c>
      <c r="B97" s="8">
        <v>45813.0</v>
      </c>
      <c r="C97" s="7" t="s">
        <v>23</v>
      </c>
      <c r="D97" s="7" t="s">
        <v>26</v>
      </c>
      <c r="E97" s="9">
        <v>3251.6</v>
      </c>
      <c r="F97" s="9">
        <v>3055.46</v>
      </c>
      <c r="G97" s="9">
        <v>115973.0</v>
      </c>
      <c r="H97" s="9">
        <v>4194.0</v>
      </c>
      <c r="I97" s="9">
        <v>366.0</v>
      </c>
      <c r="J97" s="9">
        <v>13278.24</v>
      </c>
      <c r="K97" s="10">
        <f t="shared" si="1"/>
        <v>0.0361635898</v>
      </c>
      <c r="L97" s="10">
        <f t="shared" si="2"/>
        <v>0.7285312351</v>
      </c>
      <c r="M97" s="10">
        <f t="shared" si="3"/>
        <v>8.348251366</v>
      </c>
      <c r="N97" s="10">
        <f t="shared" si="4"/>
        <v>4.345741721</v>
      </c>
      <c r="O97" s="10">
        <f t="shared" si="5"/>
        <v>10222.78</v>
      </c>
      <c r="P97" s="10">
        <f t="shared" si="6"/>
        <v>76.98896842</v>
      </c>
      <c r="Q97" s="10">
        <f t="shared" si="7"/>
        <v>2025</v>
      </c>
      <c r="R97" s="10">
        <f t="shared" si="8"/>
        <v>6</v>
      </c>
      <c r="S97" s="10" t="str">
        <f t="shared" si="9"/>
        <v>2025-06</v>
      </c>
    </row>
    <row r="98" ht="14.25" customHeight="1">
      <c r="A98" s="7" t="s">
        <v>124</v>
      </c>
      <c r="B98" s="8">
        <v>45742.0</v>
      </c>
      <c r="C98" s="7" t="s">
        <v>33</v>
      </c>
      <c r="D98" s="7" t="s">
        <v>24</v>
      </c>
      <c r="E98" s="9">
        <v>5005.79</v>
      </c>
      <c r="F98" s="9">
        <v>4891.91</v>
      </c>
      <c r="G98" s="9">
        <v>58155.0</v>
      </c>
      <c r="H98" s="9">
        <v>2713.0</v>
      </c>
      <c r="I98" s="9">
        <v>76.0</v>
      </c>
      <c r="J98" s="9">
        <v>1589.54</v>
      </c>
      <c r="K98" s="10">
        <f t="shared" si="1"/>
        <v>0.04665119078</v>
      </c>
      <c r="L98" s="10">
        <f t="shared" si="2"/>
        <v>1.803136749</v>
      </c>
      <c r="M98" s="10">
        <f t="shared" si="3"/>
        <v>64.36723684</v>
      </c>
      <c r="N98" s="10">
        <f t="shared" si="4"/>
        <v>0.3249323884</v>
      </c>
      <c r="O98" s="10">
        <f t="shared" si="5"/>
        <v>-3302.37</v>
      </c>
      <c r="P98" s="10">
        <f t="shared" si="6"/>
        <v>-207.756332</v>
      </c>
      <c r="Q98" s="10">
        <f t="shared" si="7"/>
        <v>2025</v>
      </c>
      <c r="R98" s="10">
        <f t="shared" si="8"/>
        <v>3</v>
      </c>
      <c r="S98" s="10" t="str">
        <f t="shared" si="9"/>
        <v>2025-03</v>
      </c>
    </row>
    <row r="99" ht="14.25" customHeight="1">
      <c r="A99" s="7" t="s">
        <v>125</v>
      </c>
      <c r="B99" s="8">
        <v>45668.0</v>
      </c>
      <c r="C99" s="7" t="s">
        <v>23</v>
      </c>
      <c r="D99" s="7" t="s">
        <v>29</v>
      </c>
      <c r="E99" s="9">
        <v>3261.44</v>
      </c>
      <c r="F99" s="9">
        <v>3414.01</v>
      </c>
      <c r="G99" s="9">
        <v>121100.0</v>
      </c>
      <c r="H99" s="9">
        <v>4154.0</v>
      </c>
      <c r="I99" s="9">
        <v>712.0</v>
      </c>
      <c r="J99" s="9">
        <v>21933.67</v>
      </c>
      <c r="K99" s="10">
        <f t="shared" si="1"/>
        <v>0.03430222956</v>
      </c>
      <c r="L99" s="10">
        <f t="shared" si="2"/>
        <v>0.821860857</v>
      </c>
      <c r="M99" s="10">
        <f t="shared" si="3"/>
        <v>4.794957865</v>
      </c>
      <c r="N99" s="10">
        <f t="shared" si="4"/>
        <v>6.424606255</v>
      </c>
      <c r="O99" s="10">
        <f t="shared" si="5"/>
        <v>18519.66</v>
      </c>
      <c r="P99" s="10">
        <f t="shared" si="6"/>
        <v>84.43484378</v>
      </c>
      <c r="Q99" s="10">
        <f t="shared" si="7"/>
        <v>2025</v>
      </c>
      <c r="R99" s="10">
        <f t="shared" si="8"/>
        <v>1</v>
      </c>
      <c r="S99" s="10" t="str">
        <f t="shared" si="9"/>
        <v>2025-01</v>
      </c>
    </row>
    <row r="100" ht="14.25" customHeight="1">
      <c r="A100" s="7" t="s">
        <v>126</v>
      </c>
      <c r="B100" s="8">
        <v>45791.0</v>
      </c>
      <c r="C100" s="7" t="s">
        <v>31</v>
      </c>
      <c r="D100" s="7" t="s">
        <v>29</v>
      </c>
      <c r="E100" s="9">
        <v>3889.42</v>
      </c>
      <c r="F100" s="9">
        <v>3720.9</v>
      </c>
      <c r="G100" s="9">
        <v>129730.0</v>
      </c>
      <c r="H100" s="9">
        <v>3017.0</v>
      </c>
      <c r="I100" s="9">
        <v>425.0</v>
      </c>
      <c r="J100" s="9">
        <v>18317.42</v>
      </c>
      <c r="K100" s="10">
        <f t="shared" si="1"/>
        <v>0.02325599322</v>
      </c>
      <c r="L100" s="10">
        <f t="shared" si="2"/>
        <v>1.233311236</v>
      </c>
      <c r="M100" s="10">
        <f t="shared" si="3"/>
        <v>8.755058824</v>
      </c>
      <c r="N100" s="10">
        <f t="shared" si="4"/>
        <v>4.922846623</v>
      </c>
      <c r="O100" s="10">
        <f t="shared" si="5"/>
        <v>14596.52</v>
      </c>
      <c r="P100" s="10">
        <f t="shared" si="6"/>
        <v>79.68654974</v>
      </c>
      <c r="Q100" s="10">
        <f t="shared" si="7"/>
        <v>2025</v>
      </c>
      <c r="R100" s="10">
        <f t="shared" si="8"/>
        <v>5</v>
      </c>
      <c r="S100" s="10" t="str">
        <f t="shared" si="9"/>
        <v>2025-05</v>
      </c>
    </row>
    <row r="101" ht="14.25" customHeight="1">
      <c r="A101" s="7" t="s">
        <v>127</v>
      </c>
      <c r="B101" s="8">
        <v>45720.0</v>
      </c>
      <c r="C101" s="7" t="s">
        <v>20</v>
      </c>
      <c r="D101" s="7" t="s">
        <v>21</v>
      </c>
      <c r="E101" s="9">
        <v>4510.75</v>
      </c>
      <c r="F101" s="9">
        <v>4451.51</v>
      </c>
      <c r="G101" s="9">
        <v>51577.0</v>
      </c>
      <c r="H101" s="9">
        <v>1434.0</v>
      </c>
      <c r="I101" s="9">
        <v>154.0</v>
      </c>
      <c r="J101" s="9">
        <v>3474.31</v>
      </c>
      <c r="K101" s="10">
        <f t="shared" si="1"/>
        <v>0.02780309052</v>
      </c>
      <c r="L101" s="10">
        <f t="shared" si="2"/>
        <v>3.104260809</v>
      </c>
      <c r="M101" s="10">
        <f t="shared" si="3"/>
        <v>28.90590909</v>
      </c>
      <c r="N101" s="10">
        <f t="shared" si="4"/>
        <v>0.7804789835</v>
      </c>
      <c r="O101" s="10">
        <f t="shared" si="5"/>
        <v>-977.2</v>
      </c>
      <c r="P101" s="10">
        <f t="shared" si="6"/>
        <v>-28.12644813</v>
      </c>
      <c r="Q101" s="10">
        <f t="shared" si="7"/>
        <v>2025</v>
      </c>
      <c r="R101" s="10">
        <f t="shared" si="8"/>
        <v>3</v>
      </c>
      <c r="S101" s="10" t="str">
        <f t="shared" si="9"/>
        <v>2025-03</v>
      </c>
    </row>
    <row r="102" ht="14.25" customHeight="1">
      <c r="A102" s="7" t="s">
        <v>128</v>
      </c>
      <c r="B102" s="8">
        <v>45698.0</v>
      </c>
      <c r="C102" s="7" t="s">
        <v>20</v>
      </c>
      <c r="D102" s="7" t="s">
        <v>21</v>
      </c>
      <c r="E102" s="9">
        <v>3361.77</v>
      </c>
      <c r="F102" s="9">
        <v>3225.3</v>
      </c>
      <c r="G102" s="9">
        <v>147591.0</v>
      </c>
      <c r="H102" s="9">
        <v>4755.0</v>
      </c>
      <c r="I102" s="9">
        <v>277.0</v>
      </c>
      <c r="J102" s="9">
        <v>10032.68</v>
      </c>
      <c r="K102" s="10">
        <f t="shared" si="1"/>
        <v>0.03221741163</v>
      </c>
      <c r="L102" s="10">
        <f t="shared" si="2"/>
        <v>0.67829653</v>
      </c>
      <c r="M102" s="10">
        <f t="shared" si="3"/>
        <v>11.64368231</v>
      </c>
      <c r="N102" s="10">
        <f t="shared" si="4"/>
        <v>3.110619167</v>
      </c>
      <c r="O102" s="10">
        <f t="shared" si="5"/>
        <v>6807.38</v>
      </c>
      <c r="P102" s="10">
        <f t="shared" si="6"/>
        <v>67.85205947</v>
      </c>
      <c r="Q102" s="10">
        <f t="shared" si="7"/>
        <v>2025</v>
      </c>
      <c r="R102" s="10">
        <f t="shared" si="8"/>
        <v>2</v>
      </c>
      <c r="S102" s="10" t="str">
        <f t="shared" si="9"/>
        <v>2025-02</v>
      </c>
    </row>
    <row r="103" ht="14.25" customHeight="1">
      <c r="A103" s="7" t="s">
        <v>129</v>
      </c>
      <c r="B103" s="8">
        <v>45668.0</v>
      </c>
      <c r="C103" s="7" t="s">
        <v>31</v>
      </c>
      <c r="D103" s="7" t="s">
        <v>26</v>
      </c>
      <c r="E103" s="9">
        <v>7462.01</v>
      </c>
      <c r="F103" s="9">
        <v>7595.04</v>
      </c>
      <c r="G103" s="9">
        <v>189630.0</v>
      </c>
      <c r="H103" s="9">
        <v>2389.0</v>
      </c>
      <c r="I103" s="9">
        <v>268.0</v>
      </c>
      <c r="J103" s="9">
        <v>13205.85</v>
      </c>
      <c r="K103" s="10">
        <f t="shared" si="1"/>
        <v>0.01259821758</v>
      </c>
      <c r="L103" s="10">
        <f t="shared" si="2"/>
        <v>3.179171201</v>
      </c>
      <c r="M103" s="10">
        <f t="shared" si="3"/>
        <v>28.33970149</v>
      </c>
      <c r="N103" s="10">
        <f t="shared" si="4"/>
        <v>1.738746603</v>
      </c>
      <c r="O103" s="10">
        <f t="shared" si="5"/>
        <v>5610.81</v>
      </c>
      <c r="P103" s="10">
        <f t="shared" si="6"/>
        <v>42.48730676</v>
      </c>
      <c r="Q103" s="10">
        <f t="shared" si="7"/>
        <v>2025</v>
      </c>
      <c r="R103" s="10">
        <f t="shared" si="8"/>
        <v>1</v>
      </c>
      <c r="S103" s="10" t="str">
        <f t="shared" si="9"/>
        <v>2025-01</v>
      </c>
    </row>
    <row r="104" ht="14.25" customHeight="1">
      <c r="A104" s="7" t="s">
        <v>130</v>
      </c>
      <c r="B104" s="8">
        <v>45709.0</v>
      </c>
      <c r="C104" s="7" t="s">
        <v>33</v>
      </c>
      <c r="D104" s="7" t="s">
        <v>21</v>
      </c>
      <c r="E104" s="9">
        <v>6614.1</v>
      </c>
      <c r="F104" s="9">
        <v>5932.1</v>
      </c>
      <c r="G104" s="9">
        <v>175761.0</v>
      </c>
      <c r="H104" s="9">
        <v>4515.0</v>
      </c>
      <c r="I104" s="9">
        <v>649.0</v>
      </c>
      <c r="J104" s="9">
        <v>28462.28</v>
      </c>
      <c r="K104" s="10">
        <f t="shared" si="1"/>
        <v>0.02568829262</v>
      </c>
      <c r="L104" s="10">
        <f t="shared" si="2"/>
        <v>1.313864895</v>
      </c>
      <c r="M104" s="10">
        <f t="shared" si="3"/>
        <v>9.1403698</v>
      </c>
      <c r="N104" s="10">
        <f t="shared" si="4"/>
        <v>4.798010822</v>
      </c>
      <c r="O104" s="10">
        <f t="shared" si="5"/>
        <v>22530.18</v>
      </c>
      <c r="P104" s="10">
        <f t="shared" si="6"/>
        <v>79.1580295</v>
      </c>
      <c r="Q104" s="10">
        <f t="shared" si="7"/>
        <v>2025</v>
      </c>
      <c r="R104" s="10">
        <f t="shared" si="8"/>
        <v>2</v>
      </c>
      <c r="S104" s="10" t="str">
        <f t="shared" si="9"/>
        <v>2025-02</v>
      </c>
    </row>
    <row r="105" ht="14.25" customHeight="1">
      <c r="A105" s="7" t="s">
        <v>131</v>
      </c>
      <c r="B105" s="8">
        <v>45690.0</v>
      </c>
      <c r="C105" s="7" t="s">
        <v>31</v>
      </c>
      <c r="D105" s="7" t="s">
        <v>21</v>
      </c>
      <c r="E105" s="9">
        <v>4895.83</v>
      </c>
      <c r="F105" s="9">
        <v>4561.4</v>
      </c>
      <c r="G105" s="9">
        <v>151629.0</v>
      </c>
      <c r="H105" s="9">
        <v>4739.0</v>
      </c>
      <c r="I105" s="9">
        <v>583.0</v>
      </c>
      <c r="J105" s="9">
        <v>13032.2</v>
      </c>
      <c r="K105" s="10">
        <f t="shared" si="1"/>
        <v>0.03125391581</v>
      </c>
      <c r="L105" s="10">
        <f t="shared" si="2"/>
        <v>0.9625237392</v>
      </c>
      <c r="M105" s="10">
        <f t="shared" si="3"/>
        <v>7.824013722</v>
      </c>
      <c r="N105" s="10">
        <f t="shared" si="4"/>
        <v>2.857061429</v>
      </c>
      <c r="O105" s="10">
        <f t="shared" si="5"/>
        <v>8470.8</v>
      </c>
      <c r="P105" s="10">
        <f t="shared" si="6"/>
        <v>64.99900247</v>
      </c>
      <c r="Q105" s="10">
        <f t="shared" si="7"/>
        <v>2025</v>
      </c>
      <c r="R105" s="10">
        <f t="shared" si="8"/>
        <v>2</v>
      </c>
      <c r="S105" s="10" t="str">
        <f t="shared" si="9"/>
        <v>2025-02</v>
      </c>
    </row>
    <row r="106" ht="14.25" customHeight="1">
      <c r="A106" s="7" t="s">
        <v>132</v>
      </c>
      <c r="B106" s="8">
        <v>45805.0</v>
      </c>
      <c r="C106" s="7" t="s">
        <v>28</v>
      </c>
      <c r="D106" s="7" t="s">
        <v>29</v>
      </c>
      <c r="E106" s="9">
        <v>3177.46</v>
      </c>
      <c r="F106" s="9">
        <v>3459.6</v>
      </c>
      <c r="G106" s="9">
        <v>120702.0</v>
      </c>
      <c r="H106" s="9">
        <v>2467.0</v>
      </c>
      <c r="I106" s="9">
        <v>288.0</v>
      </c>
      <c r="J106" s="9">
        <v>12982.87</v>
      </c>
      <c r="K106" s="10">
        <f t="shared" si="1"/>
        <v>0.02043876655</v>
      </c>
      <c r="L106" s="10">
        <f t="shared" si="2"/>
        <v>1.402351034</v>
      </c>
      <c r="M106" s="10">
        <f t="shared" si="3"/>
        <v>12.0125</v>
      </c>
      <c r="N106" s="10">
        <f t="shared" si="4"/>
        <v>3.752708406</v>
      </c>
      <c r="O106" s="10">
        <f t="shared" si="5"/>
        <v>9523.27</v>
      </c>
      <c r="P106" s="10">
        <f t="shared" si="6"/>
        <v>73.35257921</v>
      </c>
      <c r="Q106" s="10">
        <f t="shared" si="7"/>
        <v>2025</v>
      </c>
      <c r="R106" s="10">
        <f t="shared" si="8"/>
        <v>5</v>
      </c>
      <c r="S106" s="10" t="str">
        <f t="shared" si="9"/>
        <v>2025-05</v>
      </c>
    </row>
    <row r="107" ht="14.25" customHeight="1">
      <c r="A107" s="7" t="s">
        <v>133</v>
      </c>
      <c r="B107" s="8">
        <v>45752.0</v>
      </c>
      <c r="C107" s="7" t="s">
        <v>20</v>
      </c>
      <c r="D107" s="7" t="s">
        <v>29</v>
      </c>
      <c r="E107" s="9">
        <v>7871.82</v>
      </c>
      <c r="F107" s="9">
        <v>7263.22</v>
      </c>
      <c r="G107" s="9">
        <v>176077.0</v>
      </c>
      <c r="H107" s="9">
        <v>2054.0</v>
      </c>
      <c r="I107" s="9">
        <v>402.0</v>
      </c>
      <c r="J107" s="9">
        <v>10129.93</v>
      </c>
      <c r="K107" s="10">
        <f t="shared" si="1"/>
        <v>0.01166535095</v>
      </c>
      <c r="L107" s="10">
        <f t="shared" si="2"/>
        <v>3.536134372</v>
      </c>
      <c r="M107" s="10">
        <f t="shared" si="3"/>
        <v>18.06771144</v>
      </c>
      <c r="N107" s="10">
        <f t="shared" si="4"/>
        <v>1.394688582</v>
      </c>
      <c r="O107" s="10">
        <f t="shared" si="5"/>
        <v>2866.71</v>
      </c>
      <c r="P107" s="10">
        <f t="shared" si="6"/>
        <v>28.29940582</v>
      </c>
      <c r="Q107" s="10">
        <f t="shared" si="7"/>
        <v>2025</v>
      </c>
      <c r="R107" s="10">
        <f t="shared" si="8"/>
        <v>4</v>
      </c>
      <c r="S107" s="10" t="str">
        <f t="shared" si="9"/>
        <v>2025-04</v>
      </c>
    </row>
    <row r="108" ht="14.25" customHeight="1">
      <c r="A108" s="7" t="s">
        <v>134</v>
      </c>
      <c r="B108" s="8">
        <v>45774.0</v>
      </c>
      <c r="C108" s="7" t="s">
        <v>33</v>
      </c>
      <c r="D108" s="7" t="s">
        <v>24</v>
      </c>
      <c r="E108" s="9">
        <v>4095.06</v>
      </c>
      <c r="F108" s="9">
        <v>3583.48</v>
      </c>
      <c r="G108" s="9">
        <v>134667.0</v>
      </c>
      <c r="H108" s="9">
        <v>4062.0</v>
      </c>
      <c r="I108" s="9">
        <v>556.0</v>
      </c>
      <c r="J108" s="9">
        <v>20281.1</v>
      </c>
      <c r="K108" s="10">
        <f t="shared" si="1"/>
        <v>0.03016329168</v>
      </c>
      <c r="L108" s="10">
        <f t="shared" si="2"/>
        <v>0.8821959626</v>
      </c>
      <c r="M108" s="10">
        <f t="shared" si="3"/>
        <v>6.445107914</v>
      </c>
      <c r="N108" s="10">
        <f t="shared" si="4"/>
        <v>5.659610211</v>
      </c>
      <c r="O108" s="10">
        <f t="shared" si="5"/>
        <v>16697.62</v>
      </c>
      <c r="P108" s="10">
        <f t="shared" si="6"/>
        <v>82.33093866</v>
      </c>
      <c r="Q108" s="10">
        <f t="shared" si="7"/>
        <v>2025</v>
      </c>
      <c r="R108" s="10">
        <f t="shared" si="8"/>
        <v>4</v>
      </c>
      <c r="S108" s="10" t="str">
        <f t="shared" si="9"/>
        <v>2025-04</v>
      </c>
    </row>
    <row r="109" ht="14.25" customHeight="1">
      <c r="A109" s="7" t="s">
        <v>135</v>
      </c>
      <c r="B109" s="8">
        <v>45716.0</v>
      </c>
      <c r="C109" s="7" t="s">
        <v>31</v>
      </c>
      <c r="D109" s="7" t="s">
        <v>26</v>
      </c>
      <c r="E109" s="9">
        <v>8002.17</v>
      </c>
      <c r="F109" s="9">
        <v>7986.64</v>
      </c>
      <c r="G109" s="9">
        <v>178492.0</v>
      </c>
      <c r="H109" s="9">
        <v>2018.0</v>
      </c>
      <c r="I109" s="9">
        <v>385.0</v>
      </c>
      <c r="J109" s="9">
        <v>10933.24</v>
      </c>
      <c r="K109" s="10">
        <f t="shared" si="1"/>
        <v>0.01130582883</v>
      </c>
      <c r="L109" s="10">
        <f t="shared" si="2"/>
        <v>3.957700694</v>
      </c>
      <c r="M109" s="10">
        <f t="shared" si="3"/>
        <v>20.74451948</v>
      </c>
      <c r="N109" s="10">
        <f t="shared" si="4"/>
        <v>1.368941132</v>
      </c>
      <c r="O109" s="10">
        <f t="shared" si="5"/>
        <v>2946.6</v>
      </c>
      <c r="P109" s="10">
        <f t="shared" si="6"/>
        <v>26.95083982</v>
      </c>
      <c r="Q109" s="10">
        <f t="shared" si="7"/>
        <v>2025</v>
      </c>
      <c r="R109" s="10">
        <f t="shared" si="8"/>
        <v>2</v>
      </c>
      <c r="S109" s="10" t="str">
        <f t="shared" si="9"/>
        <v>2025-02</v>
      </c>
    </row>
    <row r="110" ht="14.25" customHeight="1">
      <c r="A110" s="7" t="s">
        <v>136</v>
      </c>
      <c r="B110" s="8">
        <v>45775.0</v>
      </c>
      <c r="C110" s="7" t="s">
        <v>28</v>
      </c>
      <c r="D110" s="7" t="s">
        <v>26</v>
      </c>
      <c r="E110" s="9">
        <v>9684.06</v>
      </c>
      <c r="F110" s="9">
        <v>9891.0</v>
      </c>
      <c r="G110" s="9">
        <v>145812.0</v>
      </c>
      <c r="H110" s="9">
        <v>2588.0</v>
      </c>
      <c r="I110" s="9">
        <v>340.0</v>
      </c>
      <c r="J110" s="9">
        <v>12454.41</v>
      </c>
      <c r="K110" s="10">
        <f t="shared" si="1"/>
        <v>0.01774888212</v>
      </c>
      <c r="L110" s="10">
        <f t="shared" si="2"/>
        <v>3.82187017</v>
      </c>
      <c r="M110" s="10">
        <f t="shared" si="3"/>
        <v>29.09117647</v>
      </c>
      <c r="N110" s="10">
        <f t="shared" si="4"/>
        <v>1.259165908</v>
      </c>
      <c r="O110" s="10">
        <f t="shared" si="5"/>
        <v>2563.41</v>
      </c>
      <c r="P110" s="10">
        <f t="shared" si="6"/>
        <v>20.58234794</v>
      </c>
      <c r="Q110" s="10">
        <f t="shared" si="7"/>
        <v>2025</v>
      </c>
      <c r="R110" s="10">
        <f t="shared" si="8"/>
        <v>4</v>
      </c>
      <c r="S110" s="10" t="str">
        <f t="shared" si="9"/>
        <v>2025-04</v>
      </c>
    </row>
    <row r="111" ht="14.25" customHeight="1">
      <c r="A111" s="7" t="s">
        <v>137</v>
      </c>
      <c r="B111" s="8">
        <v>45810.0</v>
      </c>
      <c r="C111" s="7" t="s">
        <v>28</v>
      </c>
      <c r="D111" s="7" t="s">
        <v>21</v>
      </c>
      <c r="E111" s="9">
        <v>7282.05</v>
      </c>
      <c r="F111" s="9">
        <v>6742.3</v>
      </c>
      <c r="G111" s="9">
        <v>186329.0</v>
      </c>
      <c r="H111" s="9">
        <v>2426.0</v>
      </c>
      <c r="I111" s="9">
        <v>475.0</v>
      </c>
      <c r="J111" s="9">
        <v>13030.17</v>
      </c>
      <c r="K111" s="10">
        <f t="shared" si="1"/>
        <v>0.01301998079</v>
      </c>
      <c r="L111" s="10">
        <f t="shared" si="2"/>
        <v>2.779183842</v>
      </c>
      <c r="M111" s="10">
        <f t="shared" si="3"/>
        <v>14.19431579</v>
      </c>
      <c r="N111" s="10">
        <f t="shared" si="4"/>
        <v>1.932600151</v>
      </c>
      <c r="O111" s="10">
        <f t="shared" si="5"/>
        <v>6287.87</v>
      </c>
      <c r="P111" s="10">
        <f t="shared" si="6"/>
        <v>48.25623917</v>
      </c>
      <c r="Q111" s="10">
        <f t="shared" si="7"/>
        <v>2025</v>
      </c>
      <c r="R111" s="10">
        <f t="shared" si="8"/>
        <v>6</v>
      </c>
      <c r="S111" s="10" t="str">
        <f t="shared" si="9"/>
        <v>2025-06</v>
      </c>
    </row>
    <row r="112" ht="14.25" customHeight="1">
      <c r="A112" s="7" t="s">
        <v>138</v>
      </c>
      <c r="B112" s="8">
        <v>45640.0</v>
      </c>
      <c r="C112" s="7" t="s">
        <v>31</v>
      </c>
      <c r="D112" s="7" t="s">
        <v>26</v>
      </c>
      <c r="E112" s="9">
        <v>5491.81</v>
      </c>
      <c r="F112" s="9">
        <v>5642.03</v>
      </c>
      <c r="G112" s="9">
        <v>147883.0</v>
      </c>
      <c r="H112" s="9">
        <v>1463.0</v>
      </c>
      <c r="I112" s="9">
        <v>163.0</v>
      </c>
      <c r="J112" s="9">
        <v>3330.38</v>
      </c>
      <c r="K112" s="10">
        <f t="shared" si="1"/>
        <v>0.009892955918</v>
      </c>
      <c r="L112" s="10">
        <f t="shared" si="2"/>
        <v>3.856479836</v>
      </c>
      <c r="M112" s="10">
        <f t="shared" si="3"/>
        <v>34.61368098</v>
      </c>
      <c r="N112" s="10">
        <f t="shared" si="4"/>
        <v>0.5902804487</v>
      </c>
      <c r="O112" s="10">
        <f t="shared" si="5"/>
        <v>-2311.65</v>
      </c>
      <c r="P112" s="10">
        <f t="shared" si="6"/>
        <v>-69.41099814</v>
      </c>
      <c r="Q112" s="10">
        <f t="shared" si="7"/>
        <v>2024</v>
      </c>
      <c r="R112" s="10">
        <f t="shared" si="8"/>
        <v>12</v>
      </c>
      <c r="S112" s="10" t="str">
        <f t="shared" si="9"/>
        <v>2024-12</v>
      </c>
    </row>
    <row r="113" ht="14.25" customHeight="1">
      <c r="A113" s="7" t="s">
        <v>139</v>
      </c>
      <c r="B113" s="8">
        <v>45807.0</v>
      </c>
      <c r="C113" s="7" t="s">
        <v>28</v>
      </c>
      <c r="D113" s="7" t="s">
        <v>21</v>
      </c>
      <c r="E113" s="9">
        <v>3812.51</v>
      </c>
      <c r="F113" s="9">
        <v>3102.62</v>
      </c>
      <c r="G113" s="9">
        <v>134164.0</v>
      </c>
      <c r="H113" s="9">
        <v>3192.0</v>
      </c>
      <c r="I113" s="9">
        <v>339.0</v>
      </c>
      <c r="J113" s="9">
        <v>7194.21</v>
      </c>
      <c r="K113" s="10">
        <f t="shared" si="1"/>
        <v>0.02379177723</v>
      </c>
      <c r="L113" s="10">
        <f t="shared" si="2"/>
        <v>0.9719987469</v>
      </c>
      <c r="M113" s="10">
        <f t="shared" si="3"/>
        <v>9.152271386</v>
      </c>
      <c r="N113" s="10">
        <f t="shared" si="4"/>
        <v>2.318753183</v>
      </c>
      <c r="O113" s="10">
        <f t="shared" si="5"/>
        <v>4091.59</v>
      </c>
      <c r="P113" s="10">
        <f t="shared" si="6"/>
        <v>56.87337456</v>
      </c>
      <c r="Q113" s="10">
        <f t="shared" si="7"/>
        <v>2025</v>
      </c>
      <c r="R113" s="10">
        <f t="shared" si="8"/>
        <v>5</v>
      </c>
      <c r="S113" s="10" t="str">
        <f t="shared" si="9"/>
        <v>2025-05</v>
      </c>
    </row>
    <row r="114" ht="14.25" customHeight="1">
      <c r="A114" s="7" t="s">
        <v>140</v>
      </c>
      <c r="B114" s="8">
        <v>45639.0</v>
      </c>
      <c r="C114" s="7" t="s">
        <v>20</v>
      </c>
      <c r="D114" s="7" t="s">
        <v>21</v>
      </c>
      <c r="E114" s="9">
        <v>8988.22</v>
      </c>
      <c r="F114" s="9">
        <v>9087.97</v>
      </c>
      <c r="G114" s="9">
        <v>127750.0</v>
      </c>
      <c r="H114" s="9">
        <v>5551.0</v>
      </c>
      <c r="I114" s="9">
        <v>393.0</v>
      </c>
      <c r="J114" s="9">
        <v>13450.51</v>
      </c>
      <c r="K114" s="10">
        <f t="shared" si="1"/>
        <v>0.04345205479</v>
      </c>
      <c r="L114" s="10">
        <f t="shared" si="2"/>
        <v>1.637177085</v>
      </c>
      <c r="M114" s="10">
        <f t="shared" si="3"/>
        <v>23.1246056</v>
      </c>
      <c r="N114" s="10">
        <f t="shared" si="4"/>
        <v>1.480034595</v>
      </c>
      <c r="O114" s="10">
        <f t="shared" si="5"/>
        <v>4362.54</v>
      </c>
      <c r="P114" s="10">
        <f t="shared" si="6"/>
        <v>32.4340118</v>
      </c>
      <c r="Q114" s="10">
        <f t="shared" si="7"/>
        <v>2024</v>
      </c>
      <c r="R114" s="10">
        <f t="shared" si="8"/>
        <v>12</v>
      </c>
      <c r="S114" s="10" t="str">
        <f t="shared" si="9"/>
        <v>2024-12</v>
      </c>
    </row>
    <row r="115" ht="14.25" customHeight="1">
      <c r="A115" s="7" t="s">
        <v>141</v>
      </c>
      <c r="B115" s="8">
        <v>45639.0</v>
      </c>
      <c r="C115" s="7" t="s">
        <v>31</v>
      </c>
      <c r="D115" s="7" t="s">
        <v>29</v>
      </c>
      <c r="E115" s="9">
        <v>3684.84</v>
      </c>
      <c r="F115" s="9">
        <v>3491.33</v>
      </c>
      <c r="G115" s="9">
        <v>99153.0</v>
      </c>
      <c r="H115" s="9">
        <v>2036.0</v>
      </c>
      <c r="I115" s="9">
        <v>382.0</v>
      </c>
      <c r="J115" s="9">
        <v>13065.99</v>
      </c>
      <c r="K115" s="10">
        <f t="shared" si="1"/>
        <v>0.02053392232</v>
      </c>
      <c r="L115" s="10">
        <f t="shared" si="2"/>
        <v>1.714798625</v>
      </c>
      <c r="M115" s="10">
        <f t="shared" si="3"/>
        <v>9.13960733</v>
      </c>
      <c r="N115" s="10">
        <f t="shared" si="4"/>
        <v>3.742410485</v>
      </c>
      <c r="O115" s="10">
        <f t="shared" si="5"/>
        <v>9574.66</v>
      </c>
      <c r="P115" s="10">
        <f t="shared" si="6"/>
        <v>73.279254</v>
      </c>
      <c r="Q115" s="10">
        <f t="shared" si="7"/>
        <v>2024</v>
      </c>
      <c r="R115" s="10">
        <f t="shared" si="8"/>
        <v>12</v>
      </c>
      <c r="S115" s="10" t="str">
        <f t="shared" si="9"/>
        <v>2024-12</v>
      </c>
    </row>
    <row r="116" ht="14.25" customHeight="1">
      <c r="A116" s="7" t="s">
        <v>142</v>
      </c>
      <c r="B116" s="8">
        <v>45754.0</v>
      </c>
      <c r="C116" s="7" t="s">
        <v>31</v>
      </c>
      <c r="D116" s="7" t="s">
        <v>29</v>
      </c>
      <c r="E116" s="9">
        <v>4212.41</v>
      </c>
      <c r="F116" s="9">
        <v>3918.2</v>
      </c>
      <c r="G116" s="9">
        <v>171690.0</v>
      </c>
      <c r="H116" s="9">
        <v>1892.0</v>
      </c>
      <c r="I116" s="9">
        <v>232.0</v>
      </c>
      <c r="J116" s="9">
        <v>7413.59</v>
      </c>
      <c r="K116" s="10">
        <f t="shared" si="1"/>
        <v>0.01101986138</v>
      </c>
      <c r="L116" s="10">
        <f t="shared" si="2"/>
        <v>2.070930233</v>
      </c>
      <c r="M116" s="10">
        <f t="shared" si="3"/>
        <v>16.8887931</v>
      </c>
      <c r="N116" s="10">
        <f t="shared" si="4"/>
        <v>1.892090756</v>
      </c>
      <c r="O116" s="10">
        <f t="shared" si="5"/>
        <v>3495.39</v>
      </c>
      <c r="P116" s="10">
        <f t="shared" si="6"/>
        <v>47.14841258</v>
      </c>
      <c r="Q116" s="10">
        <f t="shared" si="7"/>
        <v>2025</v>
      </c>
      <c r="R116" s="10">
        <f t="shared" si="8"/>
        <v>4</v>
      </c>
      <c r="S116" s="10" t="str">
        <f t="shared" si="9"/>
        <v>2025-04</v>
      </c>
    </row>
    <row r="117" ht="14.25" customHeight="1">
      <c r="A117" s="7" t="s">
        <v>143</v>
      </c>
      <c r="B117" s="8">
        <v>45667.0</v>
      </c>
      <c r="C117" s="7" t="s">
        <v>28</v>
      </c>
      <c r="D117" s="7" t="s">
        <v>29</v>
      </c>
      <c r="E117" s="9">
        <v>7310.95</v>
      </c>
      <c r="F117" s="9">
        <v>7241.7</v>
      </c>
      <c r="G117" s="9">
        <v>196304.0</v>
      </c>
      <c r="H117" s="9">
        <v>8710.0</v>
      </c>
      <c r="I117" s="9">
        <v>965.0</v>
      </c>
      <c r="J117" s="9">
        <v>20611.55</v>
      </c>
      <c r="K117" s="10">
        <f t="shared" si="1"/>
        <v>0.0443699568</v>
      </c>
      <c r="L117" s="10">
        <f t="shared" si="2"/>
        <v>0.831423651</v>
      </c>
      <c r="M117" s="10">
        <f t="shared" si="3"/>
        <v>7.504352332</v>
      </c>
      <c r="N117" s="10">
        <f t="shared" si="4"/>
        <v>2.846230857</v>
      </c>
      <c r="O117" s="10">
        <f t="shared" si="5"/>
        <v>13369.85</v>
      </c>
      <c r="P117" s="10">
        <f t="shared" si="6"/>
        <v>64.86581553</v>
      </c>
      <c r="Q117" s="10">
        <f t="shared" si="7"/>
        <v>2025</v>
      </c>
      <c r="R117" s="10">
        <f t="shared" si="8"/>
        <v>1</v>
      </c>
      <c r="S117" s="10" t="str">
        <f t="shared" si="9"/>
        <v>2025-01</v>
      </c>
    </row>
    <row r="118" ht="14.25" customHeight="1">
      <c r="A118" s="7" t="s">
        <v>144</v>
      </c>
      <c r="B118" s="8">
        <v>45735.0</v>
      </c>
      <c r="C118" s="7" t="s">
        <v>31</v>
      </c>
      <c r="D118" s="7" t="s">
        <v>29</v>
      </c>
      <c r="E118" s="9">
        <v>5622.29</v>
      </c>
      <c r="F118" s="9">
        <v>5553.46</v>
      </c>
      <c r="G118" s="9">
        <v>184625.0</v>
      </c>
      <c r="H118" s="9">
        <v>5858.0</v>
      </c>
      <c r="I118" s="9">
        <v>179.0</v>
      </c>
      <c r="J118" s="9">
        <v>6281.84</v>
      </c>
      <c r="K118" s="10">
        <f t="shared" si="1"/>
        <v>0.03172918077</v>
      </c>
      <c r="L118" s="10">
        <f t="shared" si="2"/>
        <v>0.9480129737</v>
      </c>
      <c r="M118" s="10">
        <f t="shared" si="3"/>
        <v>31.0249162</v>
      </c>
      <c r="N118" s="10">
        <f t="shared" si="4"/>
        <v>1.131157873</v>
      </c>
      <c r="O118" s="10">
        <f t="shared" si="5"/>
        <v>728.38</v>
      </c>
      <c r="P118" s="10">
        <f t="shared" si="6"/>
        <v>11.59501038</v>
      </c>
      <c r="Q118" s="10">
        <f t="shared" si="7"/>
        <v>2025</v>
      </c>
      <c r="R118" s="10">
        <f t="shared" si="8"/>
        <v>3</v>
      </c>
      <c r="S118" s="10" t="str">
        <f t="shared" si="9"/>
        <v>2025-03</v>
      </c>
    </row>
    <row r="119" ht="14.25" customHeight="1">
      <c r="A119" s="7" t="s">
        <v>145</v>
      </c>
      <c r="B119" s="8">
        <v>45719.0</v>
      </c>
      <c r="C119" s="7" t="s">
        <v>20</v>
      </c>
      <c r="D119" s="7" t="s">
        <v>26</v>
      </c>
      <c r="E119" s="9">
        <v>8995.43</v>
      </c>
      <c r="F119" s="9">
        <v>8973.91</v>
      </c>
      <c r="G119" s="9">
        <v>65860.0</v>
      </c>
      <c r="H119" s="9">
        <v>1196.0</v>
      </c>
      <c r="I119" s="9">
        <v>210.0</v>
      </c>
      <c r="J119" s="9">
        <v>5226.49</v>
      </c>
      <c r="K119" s="10">
        <f t="shared" si="1"/>
        <v>0.01815973277</v>
      </c>
      <c r="L119" s="10">
        <f t="shared" si="2"/>
        <v>7.503269231</v>
      </c>
      <c r="M119" s="10">
        <f t="shared" si="3"/>
        <v>42.73290476</v>
      </c>
      <c r="N119" s="10">
        <f t="shared" si="4"/>
        <v>0.5824094514</v>
      </c>
      <c r="O119" s="10">
        <f t="shared" si="5"/>
        <v>-3747.42</v>
      </c>
      <c r="P119" s="10">
        <f t="shared" si="6"/>
        <v>-71.70051029</v>
      </c>
      <c r="Q119" s="10">
        <f t="shared" si="7"/>
        <v>2025</v>
      </c>
      <c r="R119" s="10">
        <f t="shared" si="8"/>
        <v>3</v>
      </c>
      <c r="S119" s="10" t="str">
        <f t="shared" si="9"/>
        <v>2025-03</v>
      </c>
    </row>
    <row r="120" ht="14.25" customHeight="1">
      <c r="A120" s="7" t="s">
        <v>146</v>
      </c>
      <c r="B120" s="8">
        <v>45697.0</v>
      </c>
      <c r="C120" s="7" t="s">
        <v>31</v>
      </c>
      <c r="D120" s="7" t="s">
        <v>21</v>
      </c>
      <c r="E120" s="9">
        <v>3493.98</v>
      </c>
      <c r="F120" s="9">
        <v>3468.56</v>
      </c>
      <c r="G120" s="9">
        <v>149919.0</v>
      </c>
      <c r="H120" s="9">
        <v>5922.0</v>
      </c>
      <c r="I120" s="9">
        <v>705.0</v>
      </c>
      <c r="J120" s="9">
        <v>14660.71</v>
      </c>
      <c r="K120" s="10">
        <f t="shared" si="1"/>
        <v>0.03950133072</v>
      </c>
      <c r="L120" s="10">
        <f t="shared" si="2"/>
        <v>0.5857075312</v>
      </c>
      <c r="M120" s="10">
        <f t="shared" si="3"/>
        <v>4.919943262</v>
      </c>
      <c r="N120" s="10">
        <f t="shared" si="4"/>
        <v>4.22674251</v>
      </c>
      <c r="O120" s="10">
        <f t="shared" si="5"/>
        <v>11192.15</v>
      </c>
      <c r="P120" s="10">
        <f t="shared" si="6"/>
        <v>76.34111854</v>
      </c>
      <c r="Q120" s="10">
        <f t="shared" si="7"/>
        <v>2025</v>
      </c>
      <c r="R120" s="10">
        <f t="shared" si="8"/>
        <v>2</v>
      </c>
      <c r="S120" s="10" t="str">
        <f t="shared" si="9"/>
        <v>2025-02</v>
      </c>
    </row>
    <row r="121" ht="14.25" customHeight="1">
      <c r="A121" s="7" t="s">
        <v>147</v>
      </c>
      <c r="B121" s="8">
        <v>45797.0</v>
      </c>
      <c r="C121" s="7" t="s">
        <v>33</v>
      </c>
      <c r="D121" s="7" t="s">
        <v>21</v>
      </c>
      <c r="E121" s="9">
        <v>7100.43</v>
      </c>
      <c r="F121" s="9">
        <v>7683.16</v>
      </c>
      <c r="G121" s="9">
        <v>124319.0</v>
      </c>
      <c r="H121" s="9">
        <v>3473.0</v>
      </c>
      <c r="I121" s="9">
        <v>495.0</v>
      </c>
      <c r="J121" s="9">
        <v>18445.79</v>
      </c>
      <c r="K121" s="10">
        <f t="shared" si="1"/>
        <v>0.0279361964</v>
      </c>
      <c r="L121" s="10">
        <f t="shared" si="2"/>
        <v>2.212254535</v>
      </c>
      <c r="M121" s="10">
        <f t="shared" si="3"/>
        <v>15.52153535</v>
      </c>
      <c r="N121" s="10">
        <f t="shared" si="4"/>
        <v>2.400807741</v>
      </c>
      <c r="O121" s="10">
        <f t="shared" si="5"/>
        <v>10762.63</v>
      </c>
      <c r="P121" s="10">
        <f t="shared" si="6"/>
        <v>58.34735189</v>
      </c>
      <c r="Q121" s="10">
        <f t="shared" si="7"/>
        <v>2025</v>
      </c>
      <c r="R121" s="10">
        <f t="shared" si="8"/>
        <v>5</v>
      </c>
      <c r="S121" s="10" t="str">
        <f t="shared" si="9"/>
        <v>2025-05</v>
      </c>
    </row>
    <row r="122" ht="14.25" customHeight="1">
      <c r="A122" s="7" t="s">
        <v>148</v>
      </c>
      <c r="B122" s="8">
        <v>45784.0</v>
      </c>
      <c r="C122" s="7" t="s">
        <v>20</v>
      </c>
      <c r="D122" s="7" t="s">
        <v>26</v>
      </c>
      <c r="E122" s="9">
        <v>5717.19</v>
      </c>
      <c r="F122" s="9">
        <v>5677.09</v>
      </c>
      <c r="G122" s="9">
        <v>149623.0</v>
      </c>
      <c r="H122" s="9">
        <v>2483.0</v>
      </c>
      <c r="I122" s="9">
        <v>463.0</v>
      </c>
      <c r="J122" s="9">
        <v>15625.13</v>
      </c>
      <c r="K122" s="10">
        <f t="shared" si="1"/>
        <v>0.01659504221</v>
      </c>
      <c r="L122" s="10">
        <f t="shared" si="2"/>
        <v>2.286383407</v>
      </c>
      <c r="M122" s="10">
        <f t="shared" si="3"/>
        <v>12.26153348</v>
      </c>
      <c r="N122" s="10">
        <f t="shared" si="4"/>
        <v>2.752313245</v>
      </c>
      <c r="O122" s="10">
        <f t="shared" si="5"/>
        <v>9948.04</v>
      </c>
      <c r="P122" s="10">
        <f t="shared" si="6"/>
        <v>63.66692629</v>
      </c>
      <c r="Q122" s="10">
        <f t="shared" si="7"/>
        <v>2025</v>
      </c>
      <c r="R122" s="10">
        <f t="shared" si="8"/>
        <v>5</v>
      </c>
      <c r="S122" s="10" t="str">
        <f t="shared" si="9"/>
        <v>2025-05</v>
      </c>
    </row>
    <row r="123" ht="14.25" customHeight="1">
      <c r="A123" s="7" t="s">
        <v>149</v>
      </c>
      <c r="B123" s="8">
        <v>45673.0</v>
      </c>
      <c r="C123" s="7" t="s">
        <v>31</v>
      </c>
      <c r="D123" s="7" t="s">
        <v>21</v>
      </c>
      <c r="E123" s="9">
        <v>6819.32</v>
      </c>
      <c r="F123" s="9">
        <v>7381.5</v>
      </c>
      <c r="G123" s="9">
        <v>53378.0</v>
      </c>
      <c r="H123" s="9">
        <v>2137.0</v>
      </c>
      <c r="I123" s="9">
        <v>410.0</v>
      </c>
      <c r="J123" s="9">
        <v>12949.06</v>
      </c>
      <c r="K123" s="10">
        <f t="shared" si="1"/>
        <v>0.0400352205</v>
      </c>
      <c r="L123" s="10">
        <f t="shared" si="2"/>
        <v>3.45414132</v>
      </c>
      <c r="M123" s="10">
        <f t="shared" si="3"/>
        <v>18.00365854</v>
      </c>
      <c r="N123" s="10">
        <f t="shared" si="4"/>
        <v>1.75425862</v>
      </c>
      <c r="O123" s="10">
        <f t="shared" si="5"/>
        <v>5567.56</v>
      </c>
      <c r="P123" s="10">
        <f t="shared" si="6"/>
        <v>42.99586225</v>
      </c>
      <c r="Q123" s="10">
        <f t="shared" si="7"/>
        <v>2025</v>
      </c>
      <c r="R123" s="10">
        <f t="shared" si="8"/>
        <v>1</v>
      </c>
      <c r="S123" s="10" t="str">
        <f t="shared" si="9"/>
        <v>2025-01</v>
      </c>
    </row>
    <row r="124" ht="14.25" customHeight="1">
      <c r="A124" s="7" t="s">
        <v>150</v>
      </c>
      <c r="B124" s="8">
        <v>45752.0</v>
      </c>
      <c r="C124" s="7" t="s">
        <v>28</v>
      </c>
      <c r="D124" s="7" t="s">
        <v>21</v>
      </c>
      <c r="E124" s="9">
        <v>9728.33</v>
      </c>
      <c r="F124" s="9">
        <v>10424.93</v>
      </c>
      <c r="G124" s="9">
        <v>165946.0</v>
      </c>
      <c r="H124" s="9">
        <v>4099.0</v>
      </c>
      <c r="I124" s="9">
        <v>151.0</v>
      </c>
      <c r="J124" s="9">
        <v>3906.93</v>
      </c>
      <c r="K124" s="10">
        <f t="shared" si="1"/>
        <v>0.02470080629</v>
      </c>
      <c r="L124" s="10">
        <f t="shared" si="2"/>
        <v>2.543286167</v>
      </c>
      <c r="M124" s="10">
        <f t="shared" si="3"/>
        <v>69.03927152</v>
      </c>
      <c r="N124" s="10">
        <f t="shared" si="4"/>
        <v>0.3747679841</v>
      </c>
      <c r="O124" s="10">
        <f t="shared" si="5"/>
        <v>-6518</v>
      </c>
      <c r="P124" s="10">
        <f t="shared" si="6"/>
        <v>-166.8317579</v>
      </c>
      <c r="Q124" s="10">
        <f t="shared" si="7"/>
        <v>2025</v>
      </c>
      <c r="R124" s="10">
        <f t="shared" si="8"/>
        <v>4</v>
      </c>
      <c r="S124" s="10" t="str">
        <f t="shared" si="9"/>
        <v>2025-04</v>
      </c>
    </row>
    <row r="125" ht="14.25" customHeight="1">
      <c r="A125" s="7" t="s">
        <v>151</v>
      </c>
      <c r="B125" s="8">
        <v>45814.0</v>
      </c>
      <c r="C125" s="7" t="s">
        <v>28</v>
      </c>
      <c r="D125" s="7" t="s">
        <v>21</v>
      </c>
      <c r="E125" s="9">
        <v>3485.53</v>
      </c>
      <c r="F125" s="9">
        <v>2893.8</v>
      </c>
      <c r="G125" s="9">
        <v>66013.0</v>
      </c>
      <c r="H125" s="9">
        <v>1830.0</v>
      </c>
      <c r="I125" s="9">
        <v>275.0</v>
      </c>
      <c r="J125" s="9">
        <v>5650.33</v>
      </c>
      <c r="K125" s="10">
        <f t="shared" si="1"/>
        <v>0.02772181237</v>
      </c>
      <c r="L125" s="10">
        <f t="shared" si="2"/>
        <v>1.581311475</v>
      </c>
      <c r="M125" s="10">
        <f t="shared" si="3"/>
        <v>10.52290909</v>
      </c>
      <c r="N125" s="10">
        <f t="shared" si="4"/>
        <v>1.952564103</v>
      </c>
      <c r="O125" s="10">
        <f t="shared" si="5"/>
        <v>2756.53</v>
      </c>
      <c r="P125" s="10">
        <f t="shared" si="6"/>
        <v>48.78529219</v>
      </c>
      <c r="Q125" s="10">
        <f t="shared" si="7"/>
        <v>2025</v>
      </c>
      <c r="R125" s="10">
        <f t="shared" si="8"/>
        <v>6</v>
      </c>
      <c r="S125" s="10" t="str">
        <f t="shared" si="9"/>
        <v>2025-06</v>
      </c>
    </row>
    <row r="126" ht="14.25" customHeight="1">
      <c r="A126" s="7" t="s">
        <v>152</v>
      </c>
      <c r="B126" s="8">
        <v>45746.0</v>
      </c>
      <c r="C126" s="7" t="s">
        <v>20</v>
      </c>
      <c r="D126" s="7" t="s">
        <v>29</v>
      </c>
      <c r="E126" s="9">
        <v>3661.1</v>
      </c>
      <c r="F126" s="9">
        <v>3679.05</v>
      </c>
      <c r="G126" s="9">
        <v>163376.0</v>
      </c>
      <c r="H126" s="9">
        <v>7011.0</v>
      </c>
      <c r="I126" s="9">
        <v>514.0</v>
      </c>
      <c r="J126" s="9">
        <v>11377.73</v>
      </c>
      <c r="K126" s="10">
        <f t="shared" si="1"/>
        <v>0.0429132798</v>
      </c>
      <c r="L126" s="10">
        <f t="shared" si="2"/>
        <v>0.5247539581</v>
      </c>
      <c r="M126" s="10">
        <f t="shared" si="3"/>
        <v>7.157684825</v>
      </c>
      <c r="N126" s="10">
        <f t="shared" si="4"/>
        <v>3.092572811</v>
      </c>
      <c r="O126" s="10">
        <f t="shared" si="5"/>
        <v>7698.68</v>
      </c>
      <c r="P126" s="10">
        <f t="shared" si="6"/>
        <v>67.66446383</v>
      </c>
      <c r="Q126" s="10">
        <f t="shared" si="7"/>
        <v>2025</v>
      </c>
      <c r="R126" s="10">
        <f t="shared" si="8"/>
        <v>3</v>
      </c>
      <c r="S126" s="10" t="str">
        <f t="shared" si="9"/>
        <v>2025-03</v>
      </c>
    </row>
    <row r="127" ht="14.25" customHeight="1">
      <c r="A127" s="7" t="s">
        <v>153</v>
      </c>
      <c r="B127" s="8">
        <v>45766.0</v>
      </c>
      <c r="C127" s="7" t="s">
        <v>33</v>
      </c>
      <c r="D127" s="7" t="s">
        <v>26</v>
      </c>
      <c r="E127" s="9">
        <v>5232.83</v>
      </c>
      <c r="F127" s="9">
        <v>5512.59</v>
      </c>
      <c r="G127" s="9">
        <v>139628.0</v>
      </c>
      <c r="H127" s="9">
        <v>1738.0</v>
      </c>
      <c r="I127" s="9">
        <v>81.0</v>
      </c>
      <c r="J127" s="9">
        <v>1676.55</v>
      </c>
      <c r="K127" s="10">
        <f t="shared" si="1"/>
        <v>0.01244736013</v>
      </c>
      <c r="L127" s="10">
        <f t="shared" si="2"/>
        <v>3.171800921</v>
      </c>
      <c r="M127" s="10">
        <f t="shared" si="3"/>
        <v>68.05666667</v>
      </c>
      <c r="N127" s="10">
        <f t="shared" si="4"/>
        <v>0.304131089</v>
      </c>
      <c r="O127" s="10">
        <f t="shared" si="5"/>
        <v>-3836.04</v>
      </c>
      <c r="P127" s="10">
        <f t="shared" si="6"/>
        <v>-228.8055829</v>
      </c>
      <c r="Q127" s="10">
        <f t="shared" si="7"/>
        <v>2025</v>
      </c>
      <c r="R127" s="10">
        <f t="shared" si="8"/>
        <v>4</v>
      </c>
      <c r="S127" s="10" t="str">
        <f t="shared" si="9"/>
        <v>2025-04</v>
      </c>
    </row>
    <row r="128" ht="14.25" customHeight="1">
      <c r="A128" s="7" t="s">
        <v>154</v>
      </c>
      <c r="B128" s="8">
        <v>45777.0</v>
      </c>
      <c r="C128" s="7" t="s">
        <v>20</v>
      </c>
      <c r="D128" s="7" t="s">
        <v>24</v>
      </c>
      <c r="E128" s="9">
        <v>8701.28</v>
      </c>
      <c r="F128" s="9">
        <v>7696.77</v>
      </c>
      <c r="G128" s="9">
        <v>62770.0</v>
      </c>
      <c r="H128" s="9">
        <v>1245.0</v>
      </c>
      <c r="I128" s="9">
        <v>249.0</v>
      </c>
      <c r="J128" s="9">
        <v>5862.69</v>
      </c>
      <c r="K128" s="10">
        <f t="shared" si="1"/>
        <v>0.01983431576</v>
      </c>
      <c r="L128" s="10">
        <f t="shared" si="2"/>
        <v>6.182144578</v>
      </c>
      <c r="M128" s="10">
        <f t="shared" si="3"/>
        <v>30.91072289</v>
      </c>
      <c r="N128" s="10">
        <f t="shared" si="4"/>
        <v>0.7617078333</v>
      </c>
      <c r="O128" s="10">
        <f t="shared" si="5"/>
        <v>-1834.08</v>
      </c>
      <c r="P128" s="10">
        <f t="shared" si="6"/>
        <v>-31.2839328</v>
      </c>
      <c r="Q128" s="10">
        <f t="shared" si="7"/>
        <v>2025</v>
      </c>
      <c r="R128" s="10">
        <f t="shared" si="8"/>
        <v>4</v>
      </c>
      <c r="S128" s="10" t="str">
        <f t="shared" si="9"/>
        <v>2025-04</v>
      </c>
    </row>
    <row r="129" ht="14.25" customHeight="1">
      <c r="A129" s="7" t="s">
        <v>155</v>
      </c>
      <c r="B129" s="8">
        <v>45698.0</v>
      </c>
      <c r="C129" s="7" t="s">
        <v>31</v>
      </c>
      <c r="D129" s="7" t="s">
        <v>26</v>
      </c>
      <c r="E129" s="9">
        <v>7877.16</v>
      </c>
      <c r="F129" s="9">
        <v>7788.01</v>
      </c>
      <c r="G129" s="9">
        <v>129840.0</v>
      </c>
      <c r="H129" s="9">
        <v>5797.0</v>
      </c>
      <c r="I129" s="9">
        <v>480.0</v>
      </c>
      <c r="J129" s="9">
        <v>22235.6</v>
      </c>
      <c r="K129" s="10">
        <f t="shared" si="1"/>
        <v>0.04464725816</v>
      </c>
      <c r="L129" s="10">
        <f t="shared" si="2"/>
        <v>1.343455235</v>
      </c>
      <c r="M129" s="10">
        <f t="shared" si="3"/>
        <v>16.22502083</v>
      </c>
      <c r="N129" s="10">
        <f t="shared" si="4"/>
        <v>2.85510676</v>
      </c>
      <c r="O129" s="10">
        <f t="shared" si="5"/>
        <v>14447.59</v>
      </c>
      <c r="P129" s="10">
        <f t="shared" si="6"/>
        <v>64.97504003</v>
      </c>
      <c r="Q129" s="10">
        <f t="shared" si="7"/>
        <v>2025</v>
      </c>
      <c r="R129" s="10">
        <f t="shared" si="8"/>
        <v>2</v>
      </c>
      <c r="S129" s="10" t="str">
        <f t="shared" si="9"/>
        <v>2025-02</v>
      </c>
    </row>
    <row r="130" ht="14.25" customHeight="1">
      <c r="A130" s="7" t="s">
        <v>156</v>
      </c>
      <c r="B130" s="8">
        <v>45680.0</v>
      </c>
      <c r="C130" s="7" t="s">
        <v>31</v>
      </c>
      <c r="D130" s="7" t="s">
        <v>29</v>
      </c>
      <c r="E130" s="9">
        <v>8145.5</v>
      </c>
      <c r="F130" s="9">
        <v>8479.83</v>
      </c>
      <c r="G130" s="9">
        <v>81087.0</v>
      </c>
      <c r="H130" s="9">
        <v>3895.0</v>
      </c>
      <c r="I130" s="9">
        <v>231.0</v>
      </c>
      <c r="J130" s="9">
        <v>6574.5</v>
      </c>
      <c r="K130" s="10">
        <f t="shared" si="1"/>
        <v>0.04803482679</v>
      </c>
      <c r="L130" s="10">
        <f t="shared" si="2"/>
        <v>2.177106547</v>
      </c>
      <c r="M130" s="10">
        <f t="shared" si="3"/>
        <v>36.70922078</v>
      </c>
      <c r="N130" s="10">
        <f t="shared" si="4"/>
        <v>0.7753103541</v>
      </c>
      <c r="O130" s="10">
        <f t="shared" si="5"/>
        <v>-1905.33</v>
      </c>
      <c r="P130" s="10">
        <f t="shared" si="6"/>
        <v>-28.98060689</v>
      </c>
      <c r="Q130" s="10">
        <f t="shared" si="7"/>
        <v>2025</v>
      </c>
      <c r="R130" s="10">
        <f t="shared" si="8"/>
        <v>1</v>
      </c>
      <c r="S130" s="10" t="str">
        <f t="shared" si="9"/>
        <v>2025-01</v>
      </c>
    </row>
    <row r="131" ht="14.25" customHeight="1">
      <c r="A131" s="7" t="s">
        <v>157</v>
      </c>
      <c r="B131" s="8">
        <v>45744.0</v>
      </c>
      <c r="C131" s="7" t="s">
        <v>20</v>
      </c>
      <c r="D131" s="7" t="s">
        <v>26</v>
      </c>
      <c r="E131" s="9">
        <v>4242.08</v>
      </c>
      <c r="F131" s="9">
        <v>4348.91</v>
      </c>
      <c r="G131" s="9">
        <v>199475.0</v>
      </c>
      <c r="H131" s="9">
        <v>6783.0</v>
      </c>
      <c r="I131" s="9">
        <v>258.0</v>
      </c>
      <c r="J131" s="9">
        <v>11404.9</v>
      </c>
      <c r="K131" s="10">
        <f t="shared" si="1"/>
        <v>0.03400426119</v>
      </c>
      <c r="L131" s="10">
        <f t="shared" si="2"/>
        <v>0.6411484594</v>
      </c>
      <c r="M131" s="10">
        <f t="shared" si="3"/>
        <v>16.85624031</v>
      </c>
      <c r="N131" s="10">
        <f t="shared" si="4"/>
        <v>2.622473217</v>
      </c>
      <c r="O131" s="10">
        <f t="shared" si="5"/>
        <v>7055.99</v>
      </c>
      <c r="P131" s="10">
        <f t="shared" si="6"/>
        <v>61.86805671</v>
      </c>
      <c r="Q131" s="10">
        <f t="shared" si="7"/>
        <v>2025</v>
      </c>
      <c r="R131" s="10">
        <f t="shared" si="8"/>
        <v>3</v>
      </c>
      <c r="S131" s="10" t="str">
        <f t="shared" si="9"/>
        <v>2025-03</v>
      </c>
    </row>
    <row r="132" ht="14.25" customHeight="1">
      <c r="A132" s="7" t="s">
        <v>158</v>
      </c>
      <c r="B132" s="8">
        <v>45770.0</v>
      </c>
      <c r="C132" s="7" t="s">
        <v>33</v>
      </c>
      <c r="D132" s="7" t="s">
        <v>21</v>
      </c>
      <c r="E132" s="9">
        <v>9933.54</v>
      </c>
      <c r="F132" s="9">
        <v>9176.46</v>
      </c>
      <c r="G132" s="9">
        <v>197123.0</v>
      </c>
      <c r="H132" s="9">
        <v>3693.0</v>
      </c>
      <c r="I132" s="9">
        <v>271.0</v>
      </c>
      <c r="J132" s="9">
        <v>8444.51</v>
      </c>
      <c r="K132" s="10">
        <f t="shared" si="1"/>
        <v>0.01873449572</v>
      </c>
      <c r="L132" s="10">
        <f t="shared" si="2"/>
        <v>2.484825345</v>
      </c>
      <c r="M132" s="10">
        <f t="shared" si="3"/>
        <v>33.86147601</v>
      </c>
      <c r="N132" s="10">
        <f t="shared" si="4"/>
        <v>0.9202361259</v>
      </c>
      <c r="O132" s="10">
        <f t="shared" si="5"/>
        <v>-731.95</v>
      </c>
      <c r="P132" s="10">
        <f t="shared" si="6"/>
        <v>-8.667761658</v>
      </c>
      <c r="Q132" s="10">
        <f t="shared" si="7"/>
        <v>2025</v>
      </c>
      <c r="R132" s="10">
        <f t="shared" si="8"/>
        <v>4</v>
      </c>
      <c r="S132" s="10" t="str">
        <f t="shared" si="9"/>
        <v>2025-04</v>
      </c>
    </row>
    <row r="133" ht="14.25" customHeight="1">
      <c r="A133" s="7" t="s">
        <v>159</v>
      </c>
      <c r="B133" s="8">
        <v>45764.0</v>
      </c>
      <c r="C133" s="7" t="s">
        <v>23</v>
      </c>
      <c r="D133" s="7" t="s">
        <v>24</v>
      </c>
      <c r="E133" s="9">
        <v>8434.89</v>
      </c>
      <c r="F133" s="9">
        <v>7610.3</v>
      </c>
      <c r="G133" s="9">
        <v>139183.0</v>
      </c>
      <c r="H133" s="9">
        <v>5327.0</v>
      </c>
      <c r="I133" s="9">
        <v>212.0</v>
      </c>
      <c r="J133" s="9">
        <v>10159.62</v>
      </c>
      <c r="K133" s="10">
        <f t="shared" si="1"/>
        <v>0.03827335235</v>
      </c>
      <c r="L133" s="10">
        <f t="shared" si="2"/>
        <v>1.428627745</v>
      </c>
      <c r="M133" s="10">
        <f t="shared" si="3"/>
        <v>35.89764151</v>
      </c>
      <c r="N133" s="10">
        <f t="shared" si="4"/>
        <v>1.334982852</v>
      </c>
      <c r="O133" s="10">
        <f t="shared" si="5"/>
        <v>2549.32</v>
      </c>
      <c r="P133" s="10">
        <f t="shared" si="6"/>
        <v>25.09267079</v>
      </c>
      <c r="Q133" s="10">
        <f t="shared" si="7"/>
        <v>2025</v>
      </c>
      <c r="R133" s="10">
        <f t="shared" si="8"/>
        <v>4</v>
      </c>
      <c r="S133" s="10" t="str">
        <f t="shared" si="9"/>
        <v>2025-04</v>
      </c>
    </row>
    <row r="134" ht="14.25" customHeight="1">
      <c r="A134" s="7" t="s">
        <v>160</v>
      </c>
      <c r="B134" s="8">
        <v>45640.0</v>
      </c>
      <c r="C134" s="7" t="s">
        <v>23</v>
      </c>
      <c r="D134" s="7" t="s">
        <v>29</v>
      </c>
      <c r="E134" s="9">
        <v>9008.89</v>
      </c>
      <c r="F134" s="9">
        <v>8366.54</v>
      </c>
      <c r="G134" s="9">
        <v>144975.0</v>
      </c>
      <c r="H134" s="9">
        <v>7116.0</v>
      </c>
      <c r="I134" s="9">
        <v>119.0</v>
      </c>
      <c r="J134" s="9">
        <v>5060.61</v>
      </c>
      <c r="K134" s="10">
        <f t="shared" si="1"/>
        <v>0.04908432488</v>
      </c>
      <c r="L134" s="10">
        <f t="shared" si="2"/>
        <v>1.175736369</v>
      </c>
      <c r="M134" s="10">
        <f t="shared" si="3"/>
        <v>70.30705882</v>
      </c>
      <c r="N134" s="10">
        <f t="shared" si="4"/>
        <v>0.6048629421</v>
      </c>
      <c r="O134" s="10">
        <f t="shared" si="5"/>
        <v>-3305.93</v>
      </c>
      <c r="P134" s="10">
        <f t="shared" si="6"/>
        <v>-65.32670963</v>
      </c>
      <c r="Q134" s="10">
        <f t="shared" si="7"/>
        <v>2024</v>
      </c>
      <c r="R134" s="10">
        <f t="shared" si="8"/>
        <v>12</v>
      </c>
      <c r="S134" s="10" t="str">
        <f t="shared" si="9"/>
        <v>2024-12</v>
      </c>
    </row>
    <row r="135" ht="14.25" customHeight="1">
      <c r="A135" s="7" t="s">
        <v>161</v>
      </c>
      <c r="B135" s="8">
        <v>45713.0</v>
      </c>
      <c r="C135" s="7" t="s">
        <v>23</v>
      </c>
      <c r="D135" s="7" t="s">
        <v>24</v>
      </c>
      <c r="E135" s="9">
        <v>8281.8</v>
      </c>
      <c r="F135" s="9">
        <v>6881.66</v>
      </c>
      <c r="G135" s="9">
        <v>77279.0</v>
      </c>
      <c r="H135" s="9">
        <v>3326.0</v>
      </c>
      <c r="I135" s="9">
        <v>210.0</v>
      </c>
      <c r="J135" s="9">
        <v>9886.08</v>
      </c>
      <c r="K135" s="10">
        <f t="shared" si="1"/>
        <v>0.0430388592</v>
      </c>
      <c r="L135" s="10">
        <f t="shared" si="2"/>
        <v>2.06904991</v>
      </c>
      <c r="M135" s="10">
        <f t="shared" si="3"/>
        <v>32.76980952</v>
      </c>
      <c r="N135" s="10">
        <f t="shared" si="4"/>
        <v>1.436583615</v>
      </c>
      <c r="O135" s="10">
        <f t="shared" si="5"/>
        <v>3004.42</v>
      </c>
      <c r="P135" s="10">
        <f t="shared" si="6"/>
        <v>30.39040752</v>
      </c>
      <c r="Q135" s="10">
        <f t="shared" si="7"/>
        <v>2025</v>
      </c>
      <c r="R135" s="10">
        <f t="shared" si="8"/>
        <v>2</v>
      </c>
      <c r="S135" s="10" t="str">
        <f t="shared" si="9"/>
        <v>2025-02</v>
      </c>
    </row>
    <row r="136" ht="14.25" customHeight="1">
      <c r="A136" s="7" t="s">
        <v>162</v>
      </c>
      <c r="B136" s="8">
        <v>45685.0</v>
      </c>
      <c r="C136" s="7" t="s">
        <v>33</v>
      </c>
      <c r="D136" s="7" t="s">
        <v>21</v>
      </c>
      <c r="E136" s="9">
        <v>6536.77</v>
      </c>
      <c r="F136" s="9">
        <v>6850.12</v>
      </c>
      <c r="G136" s="9">
        <v>195662.0</v>
      </c>
      <c r="H136" s="9">
        <v>9052.0</v>
      </c>
      <c r="I136" s="9">
        <v>377.0</v>
      </c>
      <c r="J136" s="9">
        <v>11159.76</v>
      </c>
      <c r="K136" s="10">
        <f t="shared" si="1"/>
        <v>0.04626345432</v>
      </c>
      <c r="L136" s="10">
        <f t="shared" si="2"/>
        <v>0.756752099</v>
      </c>
      <c r="M136" s="10">
        <f t="shared" si="3"/>
        <v>18.17007958</v>
      </c>
      <c r="N136" s="10">
        <f t="shared" si="4"/>
        <v>1.629133504</v>
      </c>
      <c r="O136" s="10">
        <f t="shared" si="5"/>
        <v>4309.64</v>
      </c>
      <c r="P136" s="10">
        <f t="shared" si="6"/>
        <v>38.61767637</v>
      </c>
      <c r="Q136" s="10">
        <f t="shared" si="7"/>
        <v>2025</v>
      </c>
      <c r="R136" s="10">
        <f t="shared" si="8"/>
        <v>1</v>
      </c>
      <c r="S136" s="10" t="str">
        <f t="shared" si="9"/>
        <v>2025-01</v>
      </c>
    </row>
    <row r="137" ht="14.25" customHeight="1">
      <c r="A137" s="7" t="s">
        <v>163</v>
      </c>
      <c r="B137" s="8">
        <v>45715.0</v>
      </c>
      <c r="C137" s="7" t="s">
        <v>23</v>
      </c>
      <c r="D137" s="7" t="s">
        <v>29</v>
      </c>
      <c r="E137" s="9">
        <v>9268.66</v>
      </c>
      <c r="F137" s="9">
        <v>8497.14</v>
      </c>
      <c r="G137" s="9">
        <v>168167.0</v>
      </c>
      <c r="H137" s="9">
        <v>4467.0</v>
      </c>
      <c r="I137" s="9">
        <v>63.0</v>
      </c>
      <c r="J137" s="9">
        <v>1280.48</v>
      </c>
      <c r="K137" s="10">
        <f t="shared" si="1"/>
        <v>0.02656288095</v>
      </c>
      <c r="L137" s="10">
        <f t="shared" si="2"/>
        <v>1.902202821</v>
      </c>
      <c r="M137" s="10">
        <f t="shared" si="3"/>
        <v>134.8752381</v>
      </c>
      <c r="N137" s="10">
        <f t="shared" si="4"/>
        <v>0.1506954105</v>
      </c>
      <c r="O137" s="10">
        <f t="shared" si="5"/>
        <v>-7216.66</v>
      </c>
      <c r="P137" s="10">
        <f t="shared" si="6"/>
        <v>-563.5902162</v>
      </c>
      <c r="Q137" s="10">
        <f t="shared" si="7"/>
        <v>2025</v>
      </c>
      <c r="R137" s="10">
        <f t="shared" si="8"/>
        <v>2</v>
      </c>
      <c r="S137" s="10" t="str">
        <f t="shared" si="9"/>
        <v>2025-02</v>
      </c>
    </row>
    <row r="138" ht="14.25" customHeight="1">
      <c r="A138" s="7" t="s">
        <v>164</v>
      </c>
      <c r="B138" s="8">
        <v>45650.0</v>
      </c>
      <c r="C138" s="7" t="s">
        <v>33</v>
      </c>
      <c r="D138" s="7" t="s">
        <v>24</v>
      </c>
      <c r="E138" s="9">
        <v>9337.67</v>
      </c>
      <c r="F138" s="9">
        <v>7725.86</v>
      </c>
      <c r="G138" s="9">
        <v>163943.0</v>
      </c>
      <c r="H138" s="9">
        <v>2848.0</v>
      </c>
      <c r="I138" s="9">
        <v>536.0</v>
      </c>
      <c r="J138" s="9">
        <v>15854.56</v>
      </c>
      <c r="K138" s="10">
        <f t="shared" si="1"/>
        <v>0.01737189145</v>
      </c>
      <c r="L138" s="10">
        <f t="shared" si="2"/>
        <v>2.712731742</v>
      </c>
      <c r="M138" s="10">
        <f t="shared" si="3"/>
        <v>14.41391791</v>
      </c>
      <c r="N138" s="10">
        <f t="shared" si="4"/>
        <v>2.052141768</v>
      </c>
      <c r="O138" s="10">
        <f t="shared" si="5"/>
        <v>8128.7</v>
      </c>
      <c r="P138" s="10">
        <f t="shared" si="6"/>
        <v>51.27042315</v>
      </c>
      <c r="Q138" s="10">
        <f t="shared" si="7"/>
        <v>2024</v>
      </c>
      <c r="R138" s="10">
        <f t="shared" si="8"/>
        <v>12</v>
      </c>
      <c r="S138" s="10" t="str">
        <f t="shared" si="9"/>
        <v>2024-12</v>
      </c>
    </row>
    <row r="139" ht="14.25" customHeight="1">
      <c r="A139" s="7" t="s">
        <v>165</v>
      </c>
      <c r="B139" s="8">
        <v>45808.0</v>
      </c>
      <c r="C139" s="7" t="s">
        <v>33</v>
      </c>
      <c r="D139" s="7" t="s">
        <v>26</v>
      </c>
      <c r="E139" s="9">
        <v>9650.43</v>
      </c>
      <c r="F139" s="9">
        <v>10472.47</v>
      </c>
      <c r="G139" s="9">
        <v>137121.0</v>
      </c>
      <c r="H139" s="9">
        <v>1770.0</v>
      </c>
      <c r="I139" s="9">
        <v>271.0</v>
      </c>
      <c r="J139" s="9">
        <v>10082.05</v>
      </c>
      <c r="K139" s="10">
        <f t="shared" si="1"/>
        <v>0.01290830726</v>
      </c>
      <c r="L139" s="10">
        <f t="shared" si="2"/>
        <v>5.916649718</v>
      </c>
      <c r="M139" s="10">
        <f t="shared" si="3"/>
        <v>38.64380074</v>
      </c>
      <c r="N139" s="10">
        <f t="shared" si="4"/>
        <v>0.9627193967</v>
      </c>
      <c r="O139" s="10">
        <f t="shared" si="5"/>
        <v>-390.42</v>
      </c>
      <c r="P139" s="10">
        <f t="shared" si="6"/>
        <v>-3.872426739</v>
      </c>
      <c r="Q139" s="10">
        <f t="shared" si="7"/>
        <v>2025</v>
      </c>
      <c r="R139" s="10">
        <f t="shared" si="8"/>
        <v>5</v>
      </c>
      <c r="S139" s="10" t="str">
        <f t="shared" si="9"/>
        <v>2025-05</v>
      </c>
    </row>
    <row r="140" ht="14.25" customHeight="1">
      <c r="A140" s="7" t="s">
        <v>166</v>
      </c>
      <c r="B140" s="8">
        <v>45646.0</v>
      </c>
      <c r="C140" s="7" t="s">
        <v>20</v>
      </c>
      <c r="D140" s="7" t="s">
        <v>29</v>
      </c>
      <c r="E140" s="9">
        <v>7422.86</v>
      </c>
      <c r="F140" s="9">
        <v>6936.91</v>
      </c>
      <c r="G140" s="9">
        <v>174799.0</v>
      </c>
      <c r="H140" s="9">
        <v>5339.0</v>
      </c>
      <c r="I140" s="9">
        <v>543.0</v>
      </c>
      <c r="J140" s="9">
        <v>15636.4</v>
      </c>
      <c r="K140" s="10">
        <f t="shared" si="1"/>
        <v>0.030543653</v>
      </c>
      <c r="L140" s="10">
        <f t="shared" si="2"/>
        <v>1.299290129</v>
      </c>
      <c r="M140" s="10">
        <f t="shared" si="3"/>
        <v>12.77515654</v>
      </c>
      <c r="N140" s="10">
        <f t="shared" si="4"/>
        <v>2.254087194</v>
      </c>
      <c r="O140" s="10">
        <f t="shared" si="5"/>
        <v>8699.49</v>
      </c>
      <c r="P140" s="10">
        <f t="shared" si="6"/>
        <v>55.63614387</v>
      </c>
      <c r="Q140" s="10">
        <f t="shared" si="7"/>
        <v>2024</v>
      </c>
      <c r="R140" s="10">
        <f t="shared" si="8"/>
        <v>12</v>
      </c>
      <c r="S140" s="10" t="str">
        <f t="shared" si="9"/>
        <v>2024-12</v>
      </c>
    </row>
    <row r="141" ht="14.25" customHeight="1">
      <c r="A141" s="7" t="s">
        <v>167</v>
      </c>
      <c r="B141" s="8">
        <v>45787.0</v>
      </c>
      <c r="C141" s="7" t="s">
        <v>23</v>
      </c>
      <c r="D141" s="7" t="s">
        <v>26</v>
      </c>
      <c r="E141" s="9">
        <v>5300.65</v>
      </c>
      <c r="F141" s="9">
        <v>5309.96</v>
      </c>
      <c r="G141" s="9">
        <v>58780.0</v>
      </c>
      <c r="H141" s="9">
        <v>1712.0</v>
      </c>
      <c r="I141" s="9">
        <v>92.0</v>
      </c>
      <c r="J141" s="9">
        <v>3916.55</v>
      </c>
      <c r="K141" s="10">
        <f t="shared" si="1"/>
        <v>0.02912555291</v>
      </c>
      <c r="L141" s="10">
        <f t="shared" si="2"/>
        <v>3.10161215</v>
      </c>
      <c r="M141" s="10">
        <f t="shared" si="3"/>
        <v>57.71695652</v>
      </c>
      <c r="N141" s="10">
        <f t="shared" si="4"/>
        <v>0.7375855939</v>
      </c>
      <c r="O141" s="10">
        <f t="shared" si="5"/>
        <v>-1393.41</v>
      </c>
      <c r="P141" s="10">
        <f t="shared" si="6"/>
        <v>-35.57748529</v>
      </c>
      <c r="Q141" s="10">
        <f t="shared" si="7"/>
        <v>2025</v>
      </c>
      <c r="R141" s="10">
        <f t="shared" si="8"/>
        <v>5</v>
      </c>
      <c r="S141" s="10" t="str">
        <f t="shared" si="9"/>
        <v>2025-05</v>
      </c>
    </row>
    <row r="142" ht="14.25" customHeight="1">
      <c r="A142" s="7" t="s">
        <v>168</v>
      </c>
      <c r="B142" s="8">
        <v>45752.0</v>
      </c>
      <c r="C142" s="7" t="s">
        <v>33</v>
      </c>
      <c r="D142" s="7" t="s">
        <v>24</v>
      </c>
      <c r="E142" s="9">
        <v>8541.05</v>
      </c>
      <c r="F142" s="9">
        <v>8856.09</v>
      </c>
      <c r="G142" s="9">
        <v>198199.0</v>
      </c>
      <c r="H142" s="9">
        <v>5993.0</v>
      </c>
      <c r="I142" s="9">
        <v>1087.0</v>
      </c>
      <c r="J142" s="9">
        <v>24714.23</v>
      </c>
      <c r="K142" s="10">
        <f t="shared" si="1"/>
        <v>0.03023728677</v>
      </c>
      <c r="L142" s="10">
        <f t="shared" si="2"/>
        <v>1.477739029</v>
      </c>
      <c r="M142" s="10">
        <f t="shared" si="3"/>
        <v>8.147276909</v>
      </c>
      <c r="N142" s="10">
        <f t="shared" si="4"/>
        <v>2.790648017</v>
      </c>
      <c r="O142" s="10">
        <f t="shared" si="5"/>
        <v>15858.14</v>
      </c>
      <c r="P142" s="10">
        <f t="shared" si="6"/>
        <v>64.16602904</v>
      </c>
      <c r="Q142" s="10">
        <f t="shared" si="7"/>
        <v>2025</v>
      </c>
      <c r="R142" s="10">
        <f t="shared" si="8"/>
        <v>4</v>
      </c>
      <c r="S142" s="10" t="str">
        <f t="shared" si="9"/>
        <v>2025-04</v>
      </c>
    </row>
    <row r="143" ht="14.25" customHeight="1">
      <c r="A143" s="7" t="s">
        <v>169</v>
      </c>
      <c r="B143" s="8">
        <v>45787.0</v>
      </c>
      <c r="C143" s="7" t="s">
        <v>33</v>
      </c>
      <c r="D143" s="7" t="s">
        <v>26</v>
      </c>
      <c r="E143" s="9">
        <v>6460.94</v>
      </c>
      <c r="F143" s="9">
        <v>5280.32</v>
      </c>
      <c r="G143" s="9">
        <v>103994.0</v>
      </c>
      <c r="H143" s="9">
        <v>4644.0</v>
      </c>
      <c r="I143" s="9">
        <v>871.0</v>
      </c>
      <c r="J143" s="9">
        <v>31779.19</v>
      </c>
      <c r="K143" s="10">
        <f t="shared" si="1"/>
        <v>0.04465642249</v>
      </c>
      <c r="L143" s="10">
        <f t="shared" si="2"/>
        <v>1.137019811</v>
      </c>
      <c r="M143" s="10">
        <f t="shared" si="3"/>
        <v>6.062365098</v>
      </c>
      <c r="N143" s="10">
        <f t="shared" si="4"/>
        <v>6.018421232</v>
      </c>
      <c r="O143" s="10">
        <f t="shared" si="5"/>
        <v>26498.87</v>
      </c>
      <c r="P143" s="10">
        <f t="shared" si="6"/>
        <v>83.3843468</v>
      </c>
      <c r="Q143" s="10">
        <f t="shared" si="7"/>
        <v>2025</v>
      </c>
      <c r="R143" s="10">
        <f t="shared" si="8"/>
        <v>5</v>
      </c>
      <c r="S143" s="10" t="str">
        <f t="shared" si="9"/>
        <v>2025-05</v>
      </c>
    </row>
    <row r="144" ht="14.25" customHeight="1">
      <c r="A144" s="7" t="s">
        <v>170</v>
      </c>
      <c r="B144" s="8">
        <v>45800.0</v>
      </c>
      <c r="C144" s="7" t="s">
        <v>28</v>
      </c>
      <c r="D144" s="7" t="s">
        <v>26</v>
      </c>
      <c r="E144" s="9">
        <v>6090.71</v>
      </c>
      <c r="F144" s="9">
        <v>6494.59</v>
      </c>
      <c r="G144" s="9">
        <v>149870.0</v>
      </c>
      <c r="H144" s="9">
        <v>2505.0</v>
      </c>
      <c r="I144" s="9">
        <v>453.0</v>
      </c>
      <c r="J144" s="9">
        <v>13828.94</v>
      </c>
      <c r="K144" s="10">
        <f t="shared" si="1"/>
        <v>0.01671448589</v>
      </c>
      <c r="L144" s="10">
        <f t="shared" si="2"/>
        <v>2.592650699</v>
      </c>
      <c r="M144" s="10">
        <f t="shared" si="3"/>
        <v>14.33684327</v>
      </c>
      <c r="N144" s="10">
        <f t="shared" si="4"/>
        <v>2.129301465</v>
      </c>
      <c r="O144" s="10">
        <f t="shared" si="5"/>
        <v>7334.35</v>
      </c>
      <c r="P144" s="10">
        <f t="shared" si="6"/>
        <v>53.03624139</v>
      </c>
      <c r="Q144" s="10">
        <f t="shared" si="7"/>
        <v>2025</v>
      </c>
      <c r="R144" s="10">
        <f t="shared" si="8"/>
        <v>5</v>
      </c>
      <c r="S144" s="10" t="str">
        <f t="shared" si="9"/>
        <v>2025-05</v>
      </c>
    </row>
    <row r="145" ht="14.25" customHeight="1">
      <c r="A145" s="7" t="s">
        <v>171</v>
      </c>
      <c r="B145" s="8">
        <v>45816.0</v>
      </c>
      <c r="C145" s="7" t="s">
        <v>20</v>
      </c>
      <c r="D145" s="7" t="s">
        <v>26</v>
      </c>
      <c r="E145" s="9">
        <v>3819.47</v>
      </c>
      <c r="F145" s="9">
        <v>3219.42</v>
      </c>
      <c r="G145" s="9">
        <v>77061.0</v>
      </c>
      <c r="H145" s="9">
        <v>1539.0</v>
      </c>
      <c r="I145" s="9">
        <v>244.0</v>
      </c>
      <c r="J145" s="9">
        <v>10454.26</v>
      </c>
      <c r="K145" s="10">
        <f t="shared" si="1"/>
        <v>0.01997119165</v>
      </c>
      <c r="L145" s="10">
        <f t="shared" si="2"/>
        <v>2.091890838</v>
      </c>
      <c r="M145" s="10">
        <f t="shared" si="3"/>
        <v>13.19434426</v>
      </c>
      <c r="N145" s="10">
        <f t="shared" si="4"/>
        <v>3.247249505</v>
      </c>
      <c r="O145" s="10">
        <f t="shared" si="5"/>
        <v>7234.84</v>
      </c>
      <c r="P145" s="10">
        <f t="shared" si="6"/>
        <v>69.20470698</v>
      </c>
      <c r="Q145" s="10">
        <f t="shared" si="7"/>
        <v>2025</v>
      </c>
      <c r="R145" s="10">
        <f t="shared" si="8"/>
        <v>6</v>
      </c>
      <c r="S145" s="10" t="str">
        <f t="shared" si="9"/>
        <v>2025-06</v>
      </c>
    </row>
    <row r="146" ht="14.25" customHeight="1">
      <c r="A146" s="7" t="s">
        <v>172</v>
      </c>
      <c r="B146" s="8">
        <v>45762.0</v>
      </c>
      <c r="C146" s="7" t="s">
        <v>33</v>
      </c>
      <c r="D146" s="7" t="s">
        <v>26</v>
      </c>
      <c r="E146" s="9">
        <v>7327.53</v>
      </c>
      <c r="F146" s="9">
        <v>6084.32</v>
      </c>
      <c r="G146" s="9">
        <v>70716.0</v>
      </c>
      <c r="H146" s="9">
        <v>2637.0</v>
      </c>
      <c r="I146" s="9">
        <v>111.0</v>
      </c>
      <c r="J146" s="9">
        <v>2500.08</v>
      </c>
      <c r="K146" s="10">
        <f t="shared" si="1"/>
        <v>0.03729000509</v>
      </c>
      <c r="L146" s="10">
        <f t="shared" si="2"/>
        <v>2.307288586</v>
      </c>
      <c r="M146" s="10">
        <f t="shared" si="3"/>
        <v>54.81369369</v>
      </c>
      <c r="N146" s="10">
        <f t="shared" si="4"/>
        <v>0.4109054093</v>
      </c>
      <c r="O146" s="10">
        <f t="shared" si="5"/>
        <v>-3584.24</v>
      </c>
      <c r="P146" s="10">
        <f t="shared" si="6"/>
        <v>-143.3650123</v>
      </c>
      <c r="Q146" s="10">
        <f t="shared" si="7"/>
        <v>2025</v>
      </c>
      <c r="R146" s="10">
        <f t="shared" si="8"/>
        <v>4</v>
      </c>
      <c r="S146" s="10" t="str">
        <f t="shared" si="9"/>
        <v>2025-04</v>
      </c>
    </row>
    <row r="147" ht="14.25" customHeight="1">
      <c r="A147" s="7" t="s">
        <v>173</v>
      </c>
      <c r="B147" s="8">
        <v>45789.0</v>
      </c>
      <c r="C147" s="7" t="s">
        <v>31</v>
      </c>
      <c r="D147" s="7" t="s">
        <v>29</v>
      </c>
      <c r="E147" s="9">
        <v>7906.78</v>
      </c>
      <c r="F147" s="9">
        <v>6498.02</v>
      </c>
      <c r="G147" s="9">
        <v>81757.0</v>
      </c>
      <c r="H147" s="9">
        <v>1390.0</v>
      </c>
      <c r="I147" s="9">
        <v>160.0</v>
      </c>
      <c r="J147" s="9">
        <v>7144.93</v>
      </c>
      <c r="K147" s="10">
        <f t="shared" si="1"/>
        <v>0.01700160231</v>
      </c>
      <c r="L147" s="10">
        <f t="shared" si="2"/>
        <v>4.674834532</v>
      </c>
      <c r="M147" s="10">
        <f t="shared" si="3"/>
        <v>40.612625</v>
      </c>
      <c r="N147" s="10">
        <f t="shared" si="4"/>
        <v>1.099554941</v>
      </c>
      <c r="O147" s="10">
        <f t="shared" si="5"/>
        <v>646.91</v>
      </c>
      <c r="P147" s="10">
        <f t="shared" si="6"/>
        <v>9.054112497</v>
      </c>
      <c r="Q147" s="10">
        <f t="shared" si="7"/>
        <v>2025</v>
      </c>
      <c r="R147" s="10">
        <f t="shared" si="8"/>
        <v>5</v>
      </c>
      <c r="S147" s="10" t="str">
        <f t="shared" si="9"/>
        <v>2025-05</v>
      </c>
    </row>
    <row r="148" ht="14.25" customHeight="1">
      <c r="A148" s="7" t="s">
        <v>174</v>
      </c>
      <c r="B148" s="8">
        <v>45771.0</v>
      </c>
      <c r="C148" s="7" t="s">
        <v>28</v>
      </c>
      <c r="D148" s="7" t="s">
        <v>21</v>
      </c>
      <c r="E148" s="9">
        <v>7943.7</v>
      </c>
      <c r="F148" s="9">
        <v>6548.82</v>
      </c>
      <c r="G148" s="9">
        <v>127949.0</v>
      </c>
      <c r="H148" s="9">
        <v>2073.0</v>
      </c>
      <c r="I148" s="9">
        <v>179.0</v>
      </c>
      <c r="J148" s="9">
        <v>4035.58</v>
      </c>
      <c r="K148" s="10">
        <f t="shared" si="1"/>
        <v>0.01620176789</v>
      </c>
      <c r="L148" s="10">
        <f t="shared" si="2"/>
        <v>3.15910275</v>
      </c>
      <c r="M148" s="10">
        <f t="shared" si="3"/>
        <v>36.58558659</v>
      </c>
      <c r="N148" s="10">
        <f t="shared" si="4"/>
        <v>0.6162300995</v>
      </c>
      <c r="O148" s="10">
        <f t="shared" si="5"/>
        <v>-2513.24</v>
      </c>
      <c r="P148" s="10">
        <f t="shared" si="6"/>
        <v>-62.27704568</v>
      </c>
      <c r="Q148" s="10">
        <f t="shared" si="7"/>
        <v>2025</v>
      </c>
      <c r="R148" s="10">
        <f t="shared" si="8"/>
        <v>4</v>
      </c>
      <c r="S148" s="10" t="str">
        <f t="shared" si="9"/>
        <v>2025-04</v>
      </c>
    </row>
    <row r="149" ht="14.25" customHeight="1">
      <c r="A149" s="7" t="s">
        <v>175</v>
      </c>
      <c r="B149" s="8">
        <v>45700.0</v>
      </c>
      <c r="C149" s="7" t="s">
        <v>31</v>
      </c>
      <c r="D149" s="7" t="s">
        <v>26</v>
      </c>
      <c r="E149" s="9">
        <v>9906.48</v>
      </c>
      <c r="F149" s="9">
        <v>9037.5</v>
      </c>
      <c r="G149" s="9">
        <v>130404.0</v>
      </c>
      <c r="H149" s="9">
        <v>3053.0</v>
      </c>
      <c r="I149" s="9">
        <v>159.0</v>
      </c>
      <c r="J149" s="9">
        <v>4947.96</v>
      </c>
      <c r="K149" s="10">
        <f t="shared" si="1"/>
        <v>0.02341185853</v>
      </c>
      <c r="L149" s="10">
        <f t="shared" si="2"/>
        <v>2.960203079</v>
      </c>
      <c r="M149" s="10">
        <f t="shared" si="3"/>
        <v>56.83962264</v>
      </c>
      <c r="N149" s="10">
        <f t="shared" si="4"/>
        <v>0.5474921162</v>
      </c>
      <c r="O149" s="10">
        <f t="shared" si="5"/>
        <v>-4089.54</v>
      </c>
      <c r="P149" s="10">
        <f t="shared" si="6"/>
        <v>-82.65103194</v>
      </c>
      <c r="Q149" s="10">
        <f t="shared" si="7"/>
        <v>2025</v>
      </c>
      <c r="R149" s="10">
        <f t="shared" si="8"/>
        <v>2</v>
      </c>
      <c r="S149" s="10" t="str">
        <f t="shared" si="9"/>
        <v>2025-02</v>
      </c>
    </row>
    <row r="150" ht="14.25" customHeight="1">
      <c r="A150" s="7" t="s">
        <v>176</v>
      </c>
      <c r="B150" s="8">
        <v>45784.0</v>
      </c>
      <c r="C150" s="7" t="s">
        <v>23</v>
      </c>
      <c r="D150" s="7" t="s">
        <v>26</v>
      </c>
      <c r="E150" s="9">
        <v>8689.6</v>
      </c>
      <c r="F150" s="9">
        <v>9421.04</v>
      </c>
      <c r="G150" s="9">
        <v>162097.0</v>
      </c>
      <c r="H150" s="9">
        <v>7152.0</v>
      </c>
      <c r="I150" s="9">
        <v>1126.0</v>
      </c>
      <c r="J150" s="9">
        <v>55827.12</v>
      </c>
      <c r="K150" s="10">
        <f t="shared" si="1"/>
        <v>0.04412172958</v>
      </c>
      <c r="L150" s="10">
        <f t="shared" si="2"/>
        <v>1.317259508</v>
      </c>
      <c r="M150" s="10">
        <f t="shared" si="3"/>
        <v>8.366820604</v>
      </c>
      <c r="N150" s="10">
        <f t="shared" si="4"/>
        <v>5.925791632</v>
      </c>
      <c r="O150" s="10">
        <f t="shared" si="5"/>
        <v>46406.08</v>
      </c>
      <c r="P150" s="10">
        <f t="shared" si="6"/>
        <v>83.12461757</v>
      </c>
      <c r="Q150" s="10">
        <f t="shared" si="7"/>
        <v>2025</v>
      </c>
      <c r="R150" s="10">
        <f t="shared" si="8"/>
        <v>5</v>
      </c>
      <c r="S150" s="10" t="str">
        <f t="shared" si="9"/>
        <v>2025-05</v>
      </c>
    </row>
    <row r="151" ht="14.25" customHeight="1">
      <c r="A151" s="7" t="s">
        <v>177</v>
      </c>
      <c r="B151" s="8">
        <v>45793.0</v>
      </c>
      <c r="C151" s="7" t="s">
        <v>31</v>
      </c>
      <c r="D151" s="7" t="s">
        <v>29</v>
      </c>
      <c r="E151" s="9">
        <v>8273.65</v>
      </c>
      <c r="F151" s="9">
        <v>7552.83</v>
      </c>
      <c r="G151" s="9">
        <v>154555.0</v>
      </c>
      <c r="H151" s="9">
        <v>7368.0</v>
      </c>
      <c r="I151" s="9">
        <v>692.0</v>
      </c>
      <c r="J151" s="9">
        <v>15573.47</v>
      </c>
      <c r="K151" s="10">
        <f t="shared" si="1"/>
        <v>0.04767234965</v>
      </c>
      <c r="L151" s="10">
        <f t="shared" si="2"/>
        <v>1.025085505</v>
      </c>
      <c r="M151" s="10">
        <f t="shared" si="3"/>
        <v>10.91449422</v>
      </c>
      <c r="N151" s="10">
        <f t="shared" si="4"/>
        <v>2.061938373</v>
      </c>
      <c r="O151" s="10">
        <f t="shared" si="5"/>
        <v>8020.64</v>
      </c>
      <c r="P151" s="10">
        <f t="shared" si="6"/>
        <v>51.5019453</v>
      </c>
      <c r="Q151" s="10">
        <f t="shared" si="7"/>
        <v>2025</v>
      </c>
      <c r="R151" s="10">
        <f t="shared" si="8"/>
        <v>5</v>
      </c>
      <c r="S151" s="10" t="str">
        <f t="shared" si="9"/>
        <v>2025-05</v>
      </c>
    </row>
    <row r="152" ht="14.25" customHeight="1">
      <c r="A152" s="7" t="s">
        <v>178</v>
      </c>
      <c r="B152" s="8">
        <v>45802.0</v>
      </c>
      <c r="C152" s="7" t="s">
        <v>23</v>
      </c>
      <c r="D152" s="7" t="s">
        <v>29</v>
      </c>
      <c r="E152" s="9">
        <v>8440.03</v>
      </c>
      <c r="F152" s="9">
        <v>8165.91</v>
      </c>
      <c r="G152" s="9">
        <v>56338.0</v>
      </c>
      <c r="H152" s="9">
        <v>2066.0</v>
      </c>
      <c r="I152" s="9">
        <v>157.0</v>
      </c>
      <c r="J152" s="9">
        <v>5138.09</v>
      </c>
      <c r="K152" s="10">
        <f t="shared" si="1"/>
        <v>0.03667151834</v>
      </c>
      <c r="L152" s="10">
        <f t="shared" si="2"/>
        <v>3.952521781</v>
      </c>
      <c r="M152" s="10">
        <f t="shared" si="3"/>
        <v>52.01216561</v>
      </c>
      <c r="N152" s="10">
        <f t="shared" si="4"/>
        <v>0.629212176</v>
      </c>
      <c r="O152" s="10">
        <f t="shared" si="5"/>
        <v>-3027.82</v>
      </c>
      <c r="P152" s="10">
        <f t="shared" si="6"/>
        <v>-58.9289016</v>
      </c>
      <c r="Q152" s="10">
        <f t="shared" si="7"/>
        <v>2025</v>
      </c>
      <c r="R152" s="10">
        <f t="shared" si="8"/>
        <v>5</v>
      </c>
      <c r="S152" s="10" t="str">
        <f t="shared" si="9"/>
        <v>2025-05</v>
      </c>
    </row>
    <row r="153" ht="14.25" customHeight="1">
      <c r="A153" s="7" t="s">
        <v>179</v>
      </c>
      <c r="B153" s="8">
        <v>45691.0</v>
      </c>
      <c r="C153" s="7" t="s">
        <v>23</v>
      </c>
      <c r="D153" s="7" t="s">
        <v>29</v>
      </c>
      <c r="E153" s="9">
        <v>9344.48</v>
      </c>
      <c r="F153" s="9">
        <v>7787.31</v>
      </c>
      <c r="G153" s="9">
        <v>168488.0</v>
      </c>
      <c r="H153" s="9">
        <v>6718.0</v>
      </c>
      <c r="I153" s="9">
        <v>131.0</v>
      </c>
      <c r="J153" s="9">
        <v>4556.02</v>
      </c>
      <c r="K153" s="10">
        <f t="shared" si="1"/>
        <v>0.03987227577</v>
      </c>
      <c r="L153" s="10">
        <f t="shared" si="2"/>
        <v>1.159170884</v>
      </c>
      <c r="M153" s="10">
        <f t="shared" si="3"/>
        <v>59.4451145</v>
      </c>
      <c r="N153" s="10">
        <f t="shared" si="4"/>
        <v>0.5850569709</v>
      </c>
      <c r="O153" s="10">
        <f t="shared" si="5"/>
        <v>-3231.29</v>
      </c>
      <c r="P153" s="10">
        <f t="shared" si="6"/>
        <v>-70.92352536</v>
      </c>
      <c r="Q153" s="10">
        <f t="shared" si="7"/>
        <v>2025</v>
      </c>
      <c r="R153" s="10">
        <f t="shared" si="8"/>
        <v>2</v>
      </c>
      <c r="S153" s="10" t="str">
        <f t="shared" si="9"/>
        <v>2025-02</v>
      </c>
    </row>
    <row r="154" ht="14.25" customHeight="1">
      <c r="A154" s="7" t="s">
        <v>180</v>
      </c>
      <c r="B154" s="8">
        <v>45663.0</v>
      </c>
      <c r="C154" s="7" t="s">
        <v>33</v>
      </c>
      <c r="D154" s="7" t="s">
        <v>26</v>
      </c>
      <c r="E154" s="9">
        <v>3079.48</v>
      </c>
      <c r="F154" s="9">
        <v>2896.55</v>
      </c>
      <c r="G154" s="9">
        <v>70782.0</v>
      </c>
      <c r="H154" s="9">
        <v>3197.0</v>
      </c>
      <c r="I154" s="9">
        <v>540.0</v>
      </c>
      <c r="J154" s="9">
        <v>11712.11</v>
      </c>
      <c r="K154" s="10">
        <f t="shared" si="1"/>
        <v>0.04516685033</v>
      </c>
      <c r="L154" s="10">
        <f t="shared" si="2"/>
        <v>0.9060212699</v>
      </c>
      <c r="M154" s="10">
        <f t="shared" si="3"/>
        <v>5.363981481</v>
      </c>
      <c r="N154" s="10">
        <f t="shared" si="4"/>
        <v>4.043468954</v>
      </c>
      <c r="O154" s="10">
        <f t="shared" si="5"/>
        <v>8815.56</v>
      </c>
      <c r="P154" s="10">
        <f t="shared" si="6"/>
        <v>75.26876028</v>
      </c>
      <c r="Q154" s="10">
        <f t="shared" si="7"/>
        <v>2025</v>
      </c>
      <c r="R154" s="10">
        <f t="shared" si="8"/>
        <v>1</v>
      </c>
      <c r="S154" s="10" t="str">
        <f t="shared" si="9"/>
        <v>2025-01</v>
      </c>
    </row>
    <row r="155" ht="14.25" customHeight="1">
      <c r="A155" s="7" t="s">
        <v>181</v>
      </c>
      <c r="B155" s="8">
        <v>45661.0</v>
      </c>
      <c r="C155" s="7" t="s">
        <v>33</v>
      </c>
      <c r="D155" s="7" t="s">
        <v>29</v>
      </c>
      <c r="E155" s="9">
        <v>3831.73</v>
      </c>
      <c r="F155" s="9">
        <v>3200.48</v>
      </c>
      <c r="G155" s="9">
        <v>187830.0</v>
      </c>
      <c r="H155" s="9">
        <v>5038.0</v>
      </c>
      <c r="I155" s="9">
        <v>56.0</v>
      </c>
      <c r="J155" s="9">
        <v>2210.67</v>
      </c>
      <c r="K155" s="10">
        <f t="shared" si="1"/>
        <v>0.02682212639</v>
      </c>
      <c r="L155" s="10">
        <f t="shared" si="2"/>
        <v>0.6352679635</v>
      </c>
      <c r="M155" s="10">
        <f t="shared" si="3"/>
        <v>57.15142857</v>
      </c>
      <c r="N155" s="10">
        <f t="shared" si="4"/>
        <v>0.6907307654</v>
      </c>
      <c r="O155" s="10">
        <f t="shared" si="5"/>
        <v>-989.81</v>
      </c>
      <c r="P155" s="10">
        <f t="shared" si="6"/>
        <v>-44.77420872</v>
      </c>
      <c r="Q155" s="10">
        <f t="shared" si="7"/>
        <v>2025</v>
      </c>
      <c r="R155" s="10">
        <f t="shared" si="8"/>
        <v>1</v>
      </c>
      <c r="S155" s="10" t="str">
        <f t="shared" si="9"/>
        <v>2025-01</v>
      </c>
    </row>
    <row r="156" ht="14.25" customHeight="1">
      <c r="A156" s="7" t="s">
        <v>182</v>
      </c>
      <c r="B156" s="8">
        <v>45668.0</v>
      </c>
      <c r="C156" s="7" t="s">
        <v>33</v>
      </c>
      <c r="D156" s="7" t="s">
        <v>26</v>
      </c>
      <c r="E156" s="9">
        <v>8222.31</v>
      </c>
      <c r="F156" s="9">
        <v>8016.84</v>
      </c>
      <c r="G156" s="9">
        <v>77085.0</v>
      </c>
      <c r="H156" s="9">
        <v>2592.0</v>
      </c>
      <c r="I156" s="9">
        <v>460.0</v>
      </c>
      <c r="J156" s="9">
        <v>22477.98</v>
      </c>
      <c r="K156" s="10">
        <f t="shared" si="1"/>
        <v>0.03362521891</v>
      </c>
      <c r="L156" s="10">
        <f t="shared" si="2"/>
        <v>3.092916667</v>
      </c>
      <c r="M156" s="10">
        <f t="shared" si="3"/>
        <v>17.42791304</v>
      </c>
      <c r="N156" s="10">
        <f t="shared" si="4"/>
        <v>2.803845405</v>
      </c>
      <c r="O156" s="10">
        <f t="shared" si="5"/>
        <v>14461.14</v>
      </c>
      <c r="P156" s="10">
        <f t="shared" si="6"/>
        <v>64.33469556</v>
      </c>
      <c r="Q156" s="10">
        <f t="shared" si="7"/>
        <v>2025</v>
      </c>
      <c r="R156" s="10">
        <f t="shared" si="8"/>
        <v>1</v>
      </c>
      <c r="S156" s="10" t="str">
        <f t="shared" si="9"/>
        <v>2025-01</v>
      </c>
    </row>
    <row r="157" ht="14.25" customHeight="1">
      <c r="A157" s="7" t="s">
        <v>183</v>
      </c>
      <c r="B157" s="8">
        <v>45814.0</v>
      </c>
      <c r="C157" s="7" t="s">
        <v>20</v>
      </c>
      <c r="D157" s="7" t="s">
        <v>21</v>
      </c>
      <c r="E157" s="9">
        <v>5624.09</v>
      </c>
      <c r="F157" s="9">
        <v>4981.33</v>
      </c>
      <c r="G157" s="9">
        <v>181387.0</v>
      </c>
      <c r="H157" s="9">
        <v>7602.0</v>
      </c>
      <c r="I157" s="9">
        <v>1490.0</v>
      </c>
      <c r="J157" s="9">
        <v>68626.38</v>
      </c>
      <c r="K157" s="10">
        <f t="shared" si="1"/>
        <v>0.04191039049</v>
      </c>
      <c r="L157" s="10">
        <f t="shared" si="2"/>
        <v>0.6552657195</v>
      </c>
      <c r="M157" s="10">
        <f t="shared" si="3"/>
        <v>3.343174497</v>
      </c>
      <c r="N157" s="10">
        <f t="shared" si="4"/>
        <v>13.77671827</v>
      </c>
      <c r="O157" s="10">
        <f t="shared" si="5"/>
        <v>63645.05</v>
      </c>
      <c r="P157" s="10">
        <f t="shared" si="6"/>
        <v>92.7413773</v>
      </c>
      <c r="Q157" s="10">
        <f t="shared" si="7"/>
        <v>2025</v>
      </c>
      <c r="R157" s="10">
        <f t="shared" si="8"/>
        <v>6</v>
      </c>
      <c r="S157" s="10" t="str">
        <f t="shared" si="9"/>
        <v>2025-06</v>
      </c>
    </row>
    <row r="158" ht="14.25" customHeight="1">
      <c r="A158" s="7" t="s">
        <v>184</v>
      </c>
      <c r="B158" s="8">
        <v>45785.0</v>
      </c>
      <c r="C158" s="7" t="s">
        <v>23</v>
      </c>
      <c r="D158" s="7" t="s">
        <v>29</v>
      </c>
      <c r="E158" s="9">
        <v>4565.17</v>
      </c>
      <c r="F158" s="9">
        <v>4971.32</v>
      </c>
      <c r="G158" s="9">
        <v>161384.0</v>
      </c>
      <c r="H158" s="9">
        <v>4375.0</v>
      </c>
      <c r="I158" s="9">
        <v>117.0</v>
      </c>
      <c r="J158" s="9">
        <v>2382.66</v>
      </c>
      <c r="K158" s="10">
        <f t="shared" si="1"/>
        <v>0.02710925494</v>
      </c>
      <c r="L158" s="10">
        <f t="shared" si="2"/>
        <v>1.136301714</v>
      </c>
      <c r="M158" s="10">
        <f t="shared" si="3"/>
        <v>42.48991453</v>
      </c>
      <c r="N158" s="10">
        <f t="shared" si="4"/>
        <v>0.4792811567</v>
      </c>
      <c r="O158" s="10">
        <f t="shared" si="5"/>
        <v>-2588.66</v>
      </c>
      <c r="P158" s="10">
        <f t="shared" si="6"/>
        <v>-108.6457992</v>
      </c>
      <c r="Q158" s="10">
        <f t="shared" si="7"/>
        <v>2025</v>
      </c>
      <c r="R158" s="10">
        <f t="shared" si="8"/>
        <v>5</v>
      </c>
      <c r="S158" s="10" t="str">
        <f t="shared" si="9"/>
        <v>2025-05</v>
      </c>
    </row>
    <row r="159" ht="14.25" customHeight="1">
      <c r="A159" s="7" t="s">
        <v>185</v>
      </c>
      <c r="B159" s="8">
        <v>45710.0</v>
      </c>
      <c r="C159" s="7" t="s">
        <v>28</v>
      </c>
      <c r="D159" s="7" t="s">
        <v>24</v>
      </c>
      <c r="E159" s="9">
        <v>9789.15</v>
      </c>
      <c r="F159" s="9">
        <v>7958.07</v>
      </c>
      <c r="G159" s="9">
        <v>115218.0</v>
      </c>
      <c r="H159" s="9">
        <v>1614.0</v>
      </c>
      <c r="I159" s="9">
        <v>62.0</v>
      </c>
      <c r="J159" s="9">
        <v>2897.53</v>
      </c>
      <c r="K159" s="10">
        <f t="shared" si="1"/>
        <v>0.01400822788</v>
      </c>
      <c r="L159" s="10">
        <f t="shared" si="2"/>
        <v>4.930650558</v>
      </c>
      <c r="M159" s="10">
        <f t="shared" si="3"/>
        <v>128.3559677</v>
      </c>
      <c r="N159" s="10">
        <f t="shared" si="4"/>
        <v>0.364099587</v>
      </c>
      <c r="O159" s="10">
        <f t="shared" si="5"/>
        <v>-5060.54</v>
      </c>
      <c r="P159" s="10">
        <f t="shared" si="6"/>
        <v>-174.650133</v>
      </c>
      <c r="Q159" s="10">
        <f t="shared" si="7"/>
        <v>2025</v>
      </c>
      <c r="R159" s="10">
        <f t="shared" si="8"/>
        <v>2</v>
      </c>
      <c r="S159" s="10" t="str">
        <f t="shared" si="9"/>
        <v>2025-02</v>
      </c>
    </row>
    <row r="160" ht="14.25" customHeight="1">
      <c r="A160" s="7" t="s">
        <v>186</v>
      </c>
      <c r="B160" s="8">
        <v>45762.0</v>
      </c>
      <c r="C160" s="7" t="s">
        <v>33</v>
      </c>
      <c r="D160" s="7" t="s">
        <v>29</v>
      </c>
      <c r="E160" s="9">
        <v>6693.91</v>
      </c>
      <c r="F160" s="9">
        <v>7349.17</v>
      </c>
      <c r="G160" s="9">
        <v>86944.0</v>
      </c>
      <c r="H160" s="9">
        <v>1292.0</v>
      </c>
      <c r="I160" s="9">
        <v>250.0</v>
      </c>
      <c r="J160" s="9">
        <v>5553.47</v>
      </c>
      <c r="K160" s="10">
        <f t="shared" si="1"/>
        <v>0.01486013986</v>
      </c>
      <c r="L160" s="10">
        <f t="shared" si="2"/>
        <v>5.688212074</v>
      </c>
      <c r="M160" s="10">
        <f t="shared" si="3"/>
        <v>29.39668</v>
      </c>
      <c r="N160" s="10">
        <f t="shared" si="4"/>
        <v>0.7556594826</v>
      </c>
      <c r="O160" s="10">
        <f t="shared" si="5"/>
        <v>-1795.7</v>
      </c>
      <c r="P160" s="10">
        <f t="shared" si="6"/>
        <v>-32.33473846</v>
      </c>
      <c r="Q160" s="10">
        <f t="shared" si="7"/>
        <v>2025</v>
      </c>
      <c r="R160" s="10">
        <f t="shared" si="8"/>
        <v>4</v>
      </c>
      <c r="S160" s="10" t="str">
        <f t="shared" si="9"/>
        <v>2025-04</v>
      </c>
    </row>
    <row r="161" ht="14.25" customHeight="1">
      <c r="A161" s="7" t="s">
        <v>187</v>
      </c>
      <c r="B161" s="8">
        <v>45778.0</v>
      </c>
      <c r="C161" s="7" t="s">
        <v>20</v>
      </c>
      <c r="D161" s="7" t="s">
        <v>26</v>
      </c>
      <c r="E161" s="9">
        <v>6876.98</v>
      </c>
      <c r="F161" s="9">
        <v>7501.35</v>
      </c>
      <c r="G161" s="9">
        <v>126890.0</v>
      </c>
      <c r="H161" s="9">
        <v>3074.0</v>
      </c>
      <c r="I161" s="9">
        <v>614.0</v>
      </c>
      <c r="J161" s="9">
        <v>21915.46</v>
      </c>
      <c r="K161" s="10">
        <f t="shared" si="1"/>
        <v>0.02422570731</v>
      </c>
      <c r="L161" s="10">
        <f t="shared" si="2"/>
        <v>2.440256994</v>
      </c>
      <c r="M161" s="10">
        <f t="shared" si="3"/>
        <v>12.21718241</v>
      </c>
      <c r="N161" s="10">
        <f t="shared" si="4"/>
        <v>2.921535457</v>
      </c>
      <c r="O161" s="10">
        <f t="shared" si="5"/>
        <v>14414.11</v>
      </c>
      <c r="P161" s="10">
        <f t="shared" si="6"/>
        <v>65.77142346</v>
      </c>
      <c r="Q161" s="10">
        <f t="shared" si="7"/>
        <v>2025</v>
      </c>
      <c r="R161" s="10">
        <f t="shared" si="8"/>
        <v>5</v>
      </c>
      <c r="S161" s="10" t="str">
        <f t="shared" si="9"/>
        <v>2025-05</v>
      </c>
    </row>
    <row r="162" ht="14.25" customHeight="1">
      <c r="A162" s="7" t="s">
        <v>188</v>
      </c>
      <c r="B162" s="8">
        <v>45783.0</v>
      </c>
      <c r="C162" s="7" t="s">
        <v>20</v>
      </c>
      <c r="D162" s="7" t="s">
        <v>24</v>
      </c>
      <c r="E162" s="9">
        <v>7405.79</v>
      </c>
      <c r="F162" s="9">
        <v>7470.4</v>
      </c>
      <c r="G162" s="9">
        <v>119094.0</v>
      </c>
      <c r="H162" s="9">
        <v>5829.0</v>
      </c>
      <c r="I162" s="9">
        <v>550.0</v>
      </c>
      <c r="J162" s="9">
        <v>18499.93</v>
      </c>
      <c r="K162" s="10">
        <f t="shared" si="1"/>
        <v>0.04894453121</v>
      </c>
      <c r="L162" s="10">
        <f t="shared" si="2"/>
        <v>1.28159204</v>
      </c>
      <c r="M162" s="10">
        <f t="shared" si="3"/>
        <v>13.58254545</v>
      </c>
      <c r="N162" s="10">
        <f t="shared" si="4"/>
        <v>2.476430981</v>
      </c>
      <c r="O162" s="10">
        <f t="shared" si="5"/>
        <v>11029.53</v>
      </c>
      <c r="P162" s="10">
        <f t="shared" si="6"/>
        <v>59.61930667</v>
      </c>
      <c r="Q162" s="10">
        <f t="shared" si="7"/>
        <v>2025</v>
      </c>
      <c r="R162" s="10">
        <f t="shared" si="8"/>
        <v>5</v>
      </c>
      <c r="S162" s="10" t="str">
        <f t="shared" si="9"/>
        <v>2025-05</v>
      </c>
    </row>
    <row r="163" ht="14.25" customHeight="1">
      <c r="A163" s="7" t="s">
        <v>189</v>
      </c>
      <c r="B163" s="8">
        <v>45739.0</v>
      </c>
      <c r="C163" s="7" t="s">
        <v>20</v>
      </c>
      <c r="D163" s="7" t="s">
        <v>26</v>
      </c>
      <c r="E163" s="9">
        <v>7392.91</v>
      </c>
      <c r="F163" s="9">
        <v>7210.26</v>
      </c>
      <c r="G163" s="9">
        <v>120570.0</v>
      </c>
      <c r="H163" s="9">
        <v>1495.0</v>
      </c>
      <c r="I163" s="9">
        <v>104.0</v>
      </c>
      <c r="J163" s="9">
        <v>4891.61</v>
      </c>
      <c r="K163" s="10">
        <f t="shared" si="1"/>
        <v>0.01239943601</v>
      </c>
      <c r="L163" s="10">
        <f t="shared" si="2"/>
        <v>4.822916388</v>
      </c>
      <c r="M163" s="10">
        <f t="shared" si="3"/>
        <v>69.32942308</v>
      </c>
      <c r="N163" s="10">
        <f t="shared" si="4"/>
        <v>0.6784235243</v>
      </c>
      <c r="O163" s="10">
        <f t="shared" si="5"/>
        <v>-2318.65</v>
      </c>
      <c r="P163" s="10">
        <f t="shared" si="6"/>
        <v>-47.4005491</v>
      </c>
      <c r="Q163" s="10">
        <f t="shared" si="7"/>
        <v>2025</v>
      </c>
      <c r="R163" s="10">
        <f t="shared" si="8"/>
        <v>3</v>
      </c>
      <c r="S163" s="10" t="str">
        <f t="shared" si="9"/>
        <v>2025-03</v>
      </c>
    </row>
    <row r="164" ht="14.25" customHeight="1">
      <c r="A164" s="7" t="s">
        <v>190</v>
      </c>
      <c r="B164" s="8">
        <v>45718.0</v>
      </c>
      <c r="C164" s="7" t="s">
        <v>33</v>
      </c>
      <c r="D164" s="7" t="s">
        <v>21</v>
      </c>
      <c r="E164" s="9">
        <v>3318.12</v>
      </c>
      <c r="F164" s="9">
        <v>2934.18</v>
      </c>
      <c r="G164" s="9">
        <v>173652.0</v>
      </c>
      <c r="H164" s="9">
        <v>3397.0</v>
      </c>
      <c r="I164" s="9">
        <v>329.0</v>
      </c>
      <c r="J164" s="9">
        <v>15960.56</v>
      </c>
      <c r="K164" s="10">
        <f t="shared" si="1"/>
        <v>0.01956211273</v>
      </c>
      <c r="L164" s="10">
        <f t="shared" si="2"/>
        <v>0.8637562555</v>
      </c>
      <c r="M164" s="10">
        <f t="shared" si="3"/>
        <v>8.918480243</v>
      </c>
      <c r="N164" s="10">
        <f t="shared" si="4"/>
        <v>5.439529954</v>
      </c>
      <c r="O164" s="10">
        <f t="shared" si="5"/>
        <v>13026.38</v>
      </c>
      <c r="P164" s="10">
        <f t="shared" si="6"/>
        <v>81.61605858</v>
      </c>
      <c r="Q164" s="10">
        <f t="shared" si="7"/>
        <v>2025</v>
      </c>
      <c r="R164" s="10">
        <f t="shared" si="8"/>
        <v>3</v>
      </c>
      <c r="S164" s="10" t="str">
        <f t="shared" si="9"/>
        <v>2025-03</v>
      </c>
    </row>
    <row r="165" ht="14.25" customHeight="1">
      <c r="A165" s="7" t="s">
        <v>191</v>
      </c>
      <c r="B165" s="8">
        <v>45698.0</v>
      </c>
      <c r="C165" s="7" t="s">
        <v>31</v>
      </c>
      <c r="D165" s="7" t="s">
        <v>29</v>
      </c>
      <c r="E165" s="9">
        <v>9231.85</v>
      </c>
      <c r="F165" s="9">
        <v>8647.45</v>
      </c>
      <c r="G165" s="9">
        <v>53244.0</v>
      </c>
      <c r="H165" s="9">
        <v>1838.0</v>
      </c>
      <c r="I165" s="9">
        <v>273.0</v>
      </c>
      <c r="J165" s="9">
        <v>10538.89</v>
      </c>
      <c r="K165" s="10">
        <f t="shared" si="1"/>
        <v>0.03452032154</v>
      </c>
      <c r="L165" s="10">
        <f t="shared" si="2"/>
        <v>4.704815016</v>
      </c>
      <c r="M165" s="10">
        <f t="shared" si="3"/>
        <v>31.67564103</v>
      </c>
      <c r="N165" s="10">
        <f t="shared" si="4"/>
        <v>1.218728064</v>
      </c>
      <c r="O165" s="10">
        <f t="shared" si="5"/>
        <v>1891.44</v>
      </c>
      <c r="P165" s="10">
        <f t="shared" si="6"/>
        <v>17.94724112</v>
      </c>
      <c r="Q165" s="10">
        <f t="shared" si="7"/>
        <v>2025</v>
      </c>
      <c r="R165" s="10">
        <f t="shared" si="8"/>
        <v>2</v>
      </c>
      <c r="S165" s="10" t="str">
        <f t="shared" si="9"/>
        <v>2025-02</v>
      </c>
    </row>
    <row r="166" ht="14.25" customHeight="1">
      <c r="A166" s="7" t="s">
        <v>192</v>
      </c>
      <c r="B166" s="8">
        <v>45667.0</v>
      </c>
      <c r="C166" s="7" t="s">
        <v>20</v>
      </c>
      <c r="D166" s="7" t="s">
        <v>26</v>
      </c>
      <c r="E166" s="9">
        <v>4941.67</v>
      </c>
      <c r="F166" s="9">
        <v>4232.23</v>
      </c>
      <c r="G166" s="9">
        <v>197753.0</v>
      </c>
      <c r="H166" s="9">
        <v>3883.0</v>
      </c>
      <c r="I166" s="9">
        <v>619.0</v>
      </c>
      <c r="J166" s="9">
        <v>20990.88</v>
      </c>
      <c r="K166" s="10">
        <f t="shared" si="1"/>
        <v>0.01963560603</v>
      </c>
      <c r="L166" s="10">
        <f t="shared" si="2"/>
        <v>1.089938192</v>
      </c>
      <c r="M166" s="10">
        <f t="shared" si="3"/>
        <v>6.83720517</v>
      </c>
      <c r="N166" s="10">
        <f t="shared" si="4"/>
        <v>4.959768255</v>
      </c>
      <c r="O166" s="10">
        <f t="shared" si="5"/>
        <v>16758.65</v>
      </c>
      <c r="P166" s="10">
        <f t="shared" si="6"/>
        <v>79.83776764</v>
      </c>
      <c r="Q166" s="10">
        <f t="shared" si="7"/>
        <v>2025</v>
      </c>
      <c r="R166" s="10">
        <f t="shared" si="8"/>
        <v>1</v>
      </c>
      <c r="S166" s="10" t="str">
        <f t="shared" si="9"/>
        <v>2025-01</v>
      </c>
    </row>
    <row r="167" ht="14.25" customHeight="1">
      <c r="A167" s="7" t="s">
        <v>193</v>
      </c>
      <c r="B167" s="8">
        <v>45716.0</v>
      </c>
      <c r="C167" s="7" t="s">
        <v>28</v>
      </c>
      <c r="D167" s="7" t="s">
        <v>29</v>
      </c>
      <c r="E167" s="9">
        <v>5473.47</v>
      </c>
      <c r="F167" s="9">
        <v>5337.16</v>
      </c>
      <c r="G167" s="9">
        <v>95888.0</v>
      </c>
      <c r="H167" s="9">
        <v>2400.0</v>
      </c>
      <c r="I167" s="9">
        <v>189.0</v>
      </c>
      <c r="J167" s="9">
        <v>4220.76</v>
      </c>
      <c r="K167" s="10">
        <f t="shared" si="1"/>
        <v>0.02502920073</v>
      </c>
      <c r="L167" s="10">
        <f t="shared" si="2"/>
        <v>2.223816667</v>
      </c>
      <c r="M167" s="10">
        <f t="shared" si="3"/>
        <v>28.2389418</v>
      </c>
      <c r="N167" s="10">
        <f t="shared" si="4"/>
        <v>0.790825083</v>
      </c>
      <c r="O167" s="10">
        <f t="shared" si="5"/>
        <v>-1116.4</v>
      </c>
      <c r="P167" s="10">
        <f t="shared" si="6"/>
        <v>-26.45021276</v>
      </c>
      <c r="Q167" s="10">
        <f t="shared" si="7"/>
        <v>2025</v>
      </c>
      <c r="R167" s="10">
        <f t="shared" si="8"/>
        <v>2</v>
      </c>
      <c r="S167" s="10" t="str">
        <f t="shared" si="9"/>
        <v>2025-02</v>
      </c>
    </row>
    <row r="168" ht="14.25" customHeight="1">
      <c r="A168" s="7" t="s">
        <v>194</v>
      </c>
      <c r="B168" s="8">
        <v>45720.0</v>
      </c>
      <c r="C168" s="7" t="s">
        <v>31</v>
      </c>
      <c r="D168" s="7" t="s">
        <v>26</v>
      </c>
      <c r="E168" s="9">
        <v>9820.76</v>
      </c>
      <c r="F168" s="9">
        <v>10762.21</v>
      </c>
      <c r="G168" s="9">
        <v>130274.0</v>
      </c>
      <c r="H168" s="9">
        <v>3999.0</v>
      </c>
      <c r="I168" s="9">
        <v>83.0</v>
      </c>
      <c r="J168" s="9">
        <v>3398.42</v>
      </c>
      <c r="K168" s="10">
        <f t="shared" si="1"/>
        <v>0.03069683897</v>
      </c>
      <c r="L168" s="10">
        <f t="shared" si="2"/>
        <v>2.691225306</v>
      </c>
      <c r="M168" s="10">
        <f t="shared" si="3"/>
        <v>129.6651807</v>
      </c>
      <c r="N168" s="10">
        <f t="shared" si="4"/>
        <v>0.3157734332</v>
      </c>
      <c r="O168" s="10">
        <f t="shared" si="5"/>
        <v>-7363.79</v>
      </c>
      <c r="P168" s="10">
        <f t="shared" si="6"/>
        <v>-216.6827526</v>
      </c>
      <c r="Q168" s="10">
        <f t="shared" si="7"/>
        <v>2025</v>
      </c>
      <c r="R168" s="10">
        <f t="shared" si="8"/>
        <v>3</v>
      </c>
      <c r="S168" s="10" t="str">
        <f t="shared" si="9"/>
        <v>2025-03</v>
      </c>
    </row>
    <row r="169" ht="14.25" customHeight="1">
      <c r="A169" s="7" t="s">
        <v>195</v>
      </c>
      <c r="B169" s="8">
        <v>45806.0</v>
      </c>
      <c r="C169" s="7" t="s">
        <v>23</v>
      </c>
      <c r="D169" s="7" t="s">
        <v>21</v>
      </c>
      <c r="E169" s="9">
        <v>6752.67</v>
      </c>
      <c r="F169" s="9">
        <v>6029.18</v>
      </c>
      <c r="G169" s="9">
        <v>53089.0</v>
      </c>
      <c r="H169" s="9">
        <v>1998.0</v>
      </c>
      <c r="I169" s="9">
        <v>204.0</v>
      </c>
      <c r="J169" s="9">
        <v>9060.43</v>
      </c>
      <c r="K169" s="10">
        <f t="shared" si="1"/>
        <v>0.03763491495</v>
      </c>
      <c r="L169" s="10">
        <f t="shared" si="2"/>
        <v>3.017607608</v>
      </c>
      <c r="M169" s="10">
        <f t="shared" si="3"/>
        <v>29.55480392</v>
      </c>
      <c r="N169" s="10">
        <f t="shared" si="4"/>
        <v>1.502763228</v>
      </c>
      <c r="O169" s="10">
        <f t="shared" si="5"/>
        <v>3031.25</v>
      </c>
      <c r="P169" s="10">
        <f t="shared" si="6"/>
        <v>33.45591766</v>
      </c>
      <c r="Q169" s="10">
        <f t="shared" si="7"/>
        <v>2025</v>
      </c>
      <c r="R169" s="10">
        <f t="shared" si="8"/>
        <v>5</v>
      </c>
      <c r="S169" s="10" t="str">
        <f t="shared" si="9"/>
        <v>2025-05</v>
      </c>
    </row>
    <row r="170" ht="14.25" customHeight="1">
      <c r="A170" s="7" t="s">
        <v>196</v>
      </c>
      <c r="B170" s="8">
        <v>45770.0</v>
      </c>
      <c r="C170" s="7" t="s">
        <v>33</v>
      </c>
      <c r="D170" s="7" t="s">
        <v>24</v>
      </c>
      <c r="E170" s="9">
        <v>7793.12</v>
      </c>
      <c r="F170" s="9">
        <v>6614.68</v>
      </c>
      <c r="G170" s="9">
        <v>110033.0</v>
      </c>
      <c r="H170" s="9">
        <v>3132.0</v>
      </c>
      <c r="I170" s="9">
        <v>85.0</v>
      </c>
      <c r="J170" s="9">
        <v>4022.86</v>
      </c>
      <c r="K170" s="10">
        <f t="shared" si="1"/>
        <v>0.02846418802</v>
      </c>
      <c r="L170" s="10">
        <f t="shared" si="2"/>
        <v>2.111966794</v>
      </c>
      <c r="M170" s="10">
        <f t="shared" si="3"/>
        <v>77.81976471</v>
      </c>
      <c r="N170" s="10">
        <f t="shared" si="4"/>
        <v>0.6081715215</v>
      </c>
      <c r="O170" s="10">
        <f t="shared" si="5"/>
        <v>-2591.82</v>
      </c>
      <c r="P170" s="10">
        <f t="shared" si="6"/>
        <v>-64.42729799</v>
      </c>
      <c r="Q170" s="10">
        <f t="shared" si="7"/>
        <v>2025</v>
      </c>
      <c r="R170" s="10">
        <f t="shared" si="8"/>
        <v>4</v>
      </c>
      <c r="S170" s="10" t="str">
        <f t="shared" si="9"/>
        <v>2025-04</v>
      </c>
    </row>
    <row r="171" ht="14.25" customHeight="1">
      <c r="A171" s="7" t="s">
        <v>197</v>
      </c>
      <c r="B171" s="8">
        <v>45636.0</v>
      </c>
      <c r="C171" s="7" t="s">
        <v>28</v>
      </c>
      <c r="D171" s="7" t="s">
        <v>26</v>
      </c>
      <c r="E171" s="9">
        <v>8757.76</v>
      </c>
      <c r="F171" s="9">
        <v>9501.64</v>
      </c>
      <c r="G171" s="9">
        <v>75315.0</v>
      </c>
      <c r="H171" s="9">
        <v>1121.0</v>
      </c>
      <c r="I171" s="9">
        <v>85.0</v>
      </c>
      <c r="J171" s="9">
        <v>3550.58</v>
      </c>
      <c r="K171" s="10">
        <f t="shared" si="1"/>
        <v>0.01488415322</v>
      </c>
      <c r="L171" s="10">
        <f t="shared" si="2"/>
        <v>8.476039251</v>
      </c>
      <c r="M171" s="10">
        <f t="shared" si="3"/>
        <v>111.784</v>
      </c>
      <c r="N171" s="10">
        <f t="shared" si="4"/>
        <v>0.3736807541</v>
      </c>
      <c r="O171" s="10">
        <f t="shared" si="5"/>
        <v>-5951.06</v>
      </c>
      <c r="P171" s="10">
        <f t="shared" si="6"/>
        <v>-167.6081091</v>
      </c>
      <c r="Q171" s="10">
        <f t="shared" si="7"/>
        <v>2024</v>
      </c>
      <c r="R171" s="10">
        <f t="shared" si="8"/>
        <v>12</v>
      </c>
      <c r="S171" s="10" t="str">
        <f t="shared" si="9"/>
        <v>2024-12</v>
      </c>
    </row>
    <row r="172" ht="14.25" customHeight="1">
      <c r="A172" s="7" t="s">
        <v>198</v>
      </c>
      <c r="B172" s="8">
        <v>45816.0</v>
      </c>
      <c r="C172" s="7" t="s">
        <v>23</v>
      </c>
      <c r="D172" s="7" t="s">
        <v>21</v>
      </c>
      <c r="E172" s="9">
        <v>7293.91</v>
      </c>
      <c r="F172" s="9">
        <v>6750.32</v>
      </c>
      <c r="G172" s="9">
        <v>194023.0</v>
      </c>
      <c r="H172" s="9">
        <v>9171.0</v>
      </c>
      <c r="I172" s="9">
        <v>1138.0</v>
      </c>
      <c r="J172" s="9">
        <v>54603.35</v>
      </c>
      <c r="K172" s="10">
        <f t="shared" si="1"/>
        <v>0.04726759199</v>
      </c>
      <c r="L172" s="10">
        <f t="shared" si="2"/>
        <v>0.7360505943</v>
      </c>
      <c r="M172" s="10">
        <f t="shared" si="3"/>
        <v>5.931739895</v>
      </c>
      <c r="N172" s="10">
        <f t="shared" si="4"/>
        <v>8.089001707</v>
      </c>
      <c r="O172" s="10">
        <f t="shared" si="5"/>
        <v>47853.03</v>
      </c>
      <c r="P172" s="10">
        <f t="shared" si="6"/>
        <v>87.63753506</v>
      </c>
      <c r="Q172" s="10">
        <f t="shared" si="7"/>
        <v>2025</v>
      </c>
      <c r="R172" s="10">
        <f t="shared" si="8"/>
        <v>6</v>
      </c>
      <c r="S172" s="10" t="str">
        <f t="shared" si="9"/>
        <v>2025-06</v>
      </c>
    </row>
    <row r="173" ht="14.25" customHeight="1">
      <c r="A173" s="7" t="s">
        <v>199</v>
      </c>
      <c r="B173" s="8">
        <v>45713.0</v>
      </c>
      <c r="C173" s="7" t="s">
        <v>28</v>
      </c>
      <c r="D173" s="7" t="s">
        <v>29</v>
      </c>
      <c r="E173" s="9">
        <v>9062.45</v>
      </c>
      <c r="F173" s="9">
        <v>7372.9</v>
      </c>
      <c r="G173" s="9">
        <v>105156.0</v>
      </c>
      <c r="H173" s="9">
        <v>3813.0</v>
      </c>
      <c r="I173" s="9">
        <v>632.0</v>
      </c>
      <c r="J173" s="9">
        <v>13139.92</v>
      </c>
      <c r="K173" s="10">
        <f t="shared" si="1"/>
        <v>0.0362604131</v>
      </c>
      <c r="L173" s="10">
        <f t="shared" si="2"/>
        <v>1.93362182</v>
      </c>
      <c r="M173" s="10">
        <f t="shared" si="3"/>
        <v>11.66598101</v>
      </c>
      <c r="N173" s="10">
        <f t="shared" si="4"/>
        <v>1.782191539</v>
      </c>
      <c r="O173" s="10">
        <f t="shared" si="5"/>
        <v>5767.02</v>
      </c>
      <c r="P173" s="10">
        <f t="shared" si="6"/>
        <v>43.88930831</v>
      </c>
      <c r="Q173" s="10">
        <f t="shared" si="7"/>
        <v>2025</v>
      </c>
      <c r="R173" s="10">
        <f t="shared" si="8"/>
        <v>2</v>
      </c>
      <c r="S173" s="10" t="str">
        <f t="shared" si="9"/>
        <v>2025-02</v>
      </c>
    </row>
    <row r="174" ht="14.25" customHeight="1">
      <c r="A174" s="7" t="s">
        <v>200</v>
      </c>
      <c r="B174" s="8">
        <v>45781.0</v>
      </c>
      <c r="C174" s="7" t="s">
        <v>31</v>
      </c>
      <c r="D174" s="7" t="s">
        <v>26</v>
      </c>
      <c r="E174" s="9">
        <v>5635.24</v>
      </c>
      <c r="F174" s="9">
        <v>5878.49</v>
      </c>
      <c r="G174" s="9">
        <v>136337.0</v>
      </c>
      <c r="H174" s="9">
        <v>3490.0</v>
      </c>
      <c r="I174" s="9">
        <v>132.0</v>
      </c>
      <c r="J174" s="9">
        <v>6549.61</v>
      </c>
      <c r="K174" s="10">
        <f t="shared" si="1"/>
        <v>0.02559833354</v>
      </c>
      <c r="L174" s="10">
        <f t="shared" si="2"/>
        <v>1.684381089</v>
      </c>
      <c r="M174" s="10">
        <f t="shared" si="3"/>
        <v>44.53401515</v>
      </c>
      <c r="N174" s="10">
        <f t="shared" si="4"/>
        <v>1.114165372</v>
      </c>
      <c r="O174" s="10">
        <f t="shared" si="5"/>
        <v>671.12</v>
      </c>
      <c r="P174" s="10">
        <f t="shared" si="6"/>
        <v>10.24671698</v>
      </c>
      <c r="Q174" s="10">
        <f t="shared" si="7"/>
        <v>2025</v>
      </c>
      <c r="R174" s="10">
        <f t="shared" si="8"/>
        <v>5</v>
      </c>
      <c r="S174" s="10" t="str">
        <f t="shared" si="9"/>
        <v>2025-05</v>
      </c>
    </row>
    <row r="175" ht="14.25" customHeight="1">
      <c r="A175" s="7" t="s">
        <v>201</v>
      </c>
      <c r="B175" s="8">
        <v>45708.0</v>
      </c>
      <c r="C175" s="7" t="s">
        <v>23</v>
      </c>
      <c r="D175" s="7" t="s">
        <v>29</v>
      </c>
      <c r="E175" s="9">
        <v>4052.92</v>
      </c>
      <c r="F175" s="9">
        <v>3964.73</v>
      </c>
      <c r="G175" s="9">
        <v>191309.0</v>
      </c>
      <c r="H175" s="9">
        <v>5182.0</v>
      </c>
      <c r="I175" s="9">
        <v>356.0</v>
      </c>
      <c r="J175" s="9">
        <v>11187.91</v>
      </c>
      <c r="K175" s="10">
        <f t="shared" si="1"/>
        <v>0.02708706856</v>
      </c>
      <c r="L175" s="10">
        <f t="shared" si="2"/>
        <v>0.7650964878</v>
      </c>
      <c r="M175" s="10">
        <f t="shared" si="3"/>
        <v>11.13688202</v>
      </c>
      <c r="N175" s="10">
        <f t="shared" si="4"/>
        <v>2.821859244</v>
      </c>
      <c r="O175" s="10">
        <f t="shared" si="5"/>
        <v>7223.18</v>
      </c>
      <c r="P175" s="10">
        <f t="shared" si="6"/>
        <v>64.56237135</v>
      </c>
      <c r="Q175" s="10">
        <f t="shared" si="7"/>
        <v>2025</v>
      </c>
      <c r="R175" s="10">
        <f t="shared" si="8"/>
        <v>2</v>
      </c>
      <c r="S175" s="10" t="str">
        <f t="shared" si="9"/>
        <v>2025-02</v>
      </c>
    </row>
    <row r="176" ht="14.25" customHeight="1">
      <c r="A176" s="7" t="s">
        <v>202</v>
      </c>
      <c r="B176" s="8">
        <v>45637.0</v>
      </c>
      <c r="C176" s="7" t="s">
        <v>33</v>
      </c>
      <c r="D176" s="7" t="s">
        <v>29</v>
      </c>
      <c r="E176" s="9">
        <v>9789.4</v>
      </c>
      <c r="F176" s="9">
        <v>10304.67</v>
      </c>
      <c r="G176" s="9">
        <v>143568.0</v>
      </c>
      <c r="H176" s="9">
        <v>6593.0</v>
      </c>
      <c r="I176" s="9">
        <v>869.0</v>
      </c>
      <c r="J176" s="9">
        <v>39235.23</v>
      </c>
      <c r="K176" s="10">
        <f t="shared" si="1"/>
        <v>0.04592248969</v>
      </c>
      <c r="L176" s="10">
        <f t="shared" si="2"/>
        <v>1.562971333</v>
      </c>
      <c r="M176" s="10">
        <f t="shared" si="3"/>
        <v>11.85807825</v>
      </c>
      <c r="N176" s="10">
        <f t="shared" si="4"/>
        <v>3.807519309</v>
      </c>
      <c r="O176" s="10">
        <f t="shared" si="5"/>
        <v>28930.56</v>
      </c>
      <c r="P176" s="10">
        <f t="shared" si="6"/>
        <v>73.73618047</v>
      </c>
      <c r="Q176" s="10">
        <f t="shared" si="7"/>
        <v>2024</v>
      </c>
      <c r="R176" s="10">
        <f t="shared" si="8"/>
        <v>12</v>
      </c>
      <c r="S176" s="10" t="str">
        <f t="shared" si="9"/>
        <v>2024-12</v>
      </c>
    </row>
    <row r="177" ht="14.25" customHeight="1">
      <c r="A177" s="7" t="s">
        <v>203</v>
      </c>
      <c r="B177" s="8">
        <v>45790.0</v>
      </c>
      <c r="C177" s="7" t="s">
        <v>23</v>
      </c>
      <c r="D177" s="7" t="s">
        <v>21</v>
      </c>
      <c r="E177" s="9">
        <v>6280.85</v>
      </c>
      <c r="F177" s="9">
        <v>5806.31</v>
      </c>
      <c r="G177" s="9">
        <v>69711.0</v>
      </c>
      <c r="H177" s="9">
        <v>1173.0</v>
      </c>
      <c r="I177" s="9">
        <v>209.0</v>
      </c>
      <c r="J177" s="9">
        <v>5894.26</v>
      </c>
      <c r="K177" s="10">
        <f t="shared" si="1"/>
        <v>0.01682661273</v>
      </c>
      <c r="L177" s="10">
        <f t="shared" si="2"/>
        <v>4.949965899</v>
      </c>
      <c r="M177" s="10">
        <f t="shared" si="3"/>
        <v>27.78138756</v>
      </c>
      <c r="N177" s="10">
        <f t="shared" si="4"/>
        <v>1.015147314</v>
      </c>
      <c r="O177" s="10">
        <f t="shared" si="5"/>
        <v>87.95</v>
      </c>
      <c r="P177" s="10">
        <f t="shared" si="6"/>
        <v>1.492129631</v>
      </c>
      <c r="Q177" s="10">
        <f t="shared" si="7"/>
        <v>2025</v>
      </c>
      <c r="R177" s="10">
        <f t="shared" si="8"/>
        <v>5</v>
      </c>
      <c r="S177" s="10" t="str">
        <f t="shared" si="9"/>
        <v>2025-05</v>
      </c>
    </row>
    <row r="178" ht="14.25" customHeight="1">
      <c r="A178" s="7" t="s">
        <v>204</v>
      </c>
      <c r="B178" s="8">
        <v>45766.0</v>
      </c>
      <c r="C178" s="7" t="s">
        <v>23</v>
      </c>
      <c r="D178" s="7" t="s">
        <v>26</v>
      </c>
      <c r="E178" s="9">
        <v>3394.63</v>
      </c>
      <c r="F178" s="9">
        <v>3596.33</v>
      </c>
      <c r="G178" s="9">
        <v>114949.0</v>
      </c>
      <c r="H178" s="9">
        <v>3456.0</v>
      </c>
      <c r="I178" s="9">
        <v>294.0</v>
      </c>
      <c r="J178" s="9">
        <v>13049.79</v>
      </c>
      <c r="K178" s="10">
        <f t="shared" si="1"/>
        <v>0.03006550731</v>
      </c>
      <c r="L178" s="10">
        <f t="shared" si="2"/>
        <v>1.040604745</v>
      </c>
      <c r="M178" s="10">
        <f t="shared" si="3"/>
        <v>12.23241497</v>
      </c>
      <c r="N178" s="10">
        <f t="shared" si="4"/>
        <v>3.628640864</v>
      </c>
      <c r="O178" s="10">
        <f t="shared" si="5"/>
        <v>9453.46</v>
      </c>
      <c r="P178" s="10">
        <f t="shared" si="6"/>
        <v>72.44147224</v>
      </c>
      <c r="Q178" s="10">
        <f t="shared" si="7"/>
        <v>2025</v>
      </c>
      <c r="R178" s="10">
        <f t="shared" si="8"/>
        <v>4</v>
      </c>
      <c r="S178" s="10" t="str">
        <f t="shared" si="9"/>
        <v>2025-04</v>
      </c>
    </row>
    <row r="179" ht="14.25" customHeight="1">
      <c r="A179" s="7" t="s">
        <v>205</v>
      </c>
      <c r="B179" s="8">
        <v>45768.0</v>
      </c>
      <c r="C179" s="7" t="s">
        <v>23</v>
      </c>
      <c r="D179" s="7" t="s">
        <v>26</v>
      </c>
      <c r="E179" s="9">
        <v>9998.02</v>
      </c>
      <c r="F179" s="9">
        <v>10987.73</v>
      </c>
      <c r="G179" s="9">
        <v>128670.0</v>
      </c>
      <c r="H179" s="9">
        <v>4786.0</v>
      </c>
      <c r="I179" s="9">
        <v>820.0</v>
      </c>
      <c r="J179" s="9">
        <v>30063.62</v>
      </c>
      <c r="K179" s="10">
        <f t="shared" si="1"/>
        <v>0.03719592757</v>
      </c>
      <c r="L179" s="10">
        <f t="shared" si="2"/>
        <v>2.295806519</v>
      </c>
      <c r="M179" s="10">
        <f t="shared" si="3"/>
        <v>13.39967073</v>
      </c>
      <c r="N179" s="10">
        <f t="shared" si="4"/>
        <v>2.736108368</v>
      </c>
      <c r="O179" s="10">
        <f t="shared" si="5"/>
        <v>19075.89</v>
      </c>
      <c r="P179" s="10">
        <f t="shared" si="6"/>
        <v>63.45174001</v>
      </c>
      <c r="Q179" s="10">
        <f t="shared" si="7"/>
        <v>2025</v>
      </c>
      <c r="R179" s="10">
        <f t="shared" si="8"/>
        <v>4</v>
      </c>
      <c r="S179" s="10" t="str">
        <f t="shared" si="9"/>
        <v>2025-04</v>
      </c>
    </row>
    <row r="180" ht="14.25" customHeight="1">
      <c r="A180" s="7" t="s">
        <v>206</v>
      </c>
      <c r="B180" s="8">
        <v>45646.0</v>
      </c>
      <c r="C180" s="7" t="s">
        <v>23</v>
      </c>
      <c r="D180" s="7" t="s">
        <v>24</v>
      </c>
      <c r="E180" s="9">
        <v>8382.91</v>
      </c>
      <c r="F180" s="9">
        <v>9082.29</v>
      </c>
      <c r="G180" s="9">
        <v>92405.0</v>
      </c>
      <c r="H180" s="9">
        <v>3028.0</v>
      </c>
      <c r="I180" s="9">
        <v>356.0</v>
      </c>
      <c r="J180" s="9">
        <v>16194.23</v>
      </c>
      <c r="K180" s="10">
        <f t="shared" si="1"/>
        <v>0.03276878957</v>
      </c>
      <c r="L180" s="10">
        <f t="shared" si="2"/>
        <v>2.999435271</v>
      </c>
      <c r="M180" s="10">
        <f t="shared" si="3"/>
        <v>25.51205056</v>
      </c>
      <c r="N180" s="10">
        <f t="shared" si="4"/>
        <v>1.783055815</v>
      </c>
      <c r="O180" s="10">
        <f t="shared" si="5"/>
        <v>7111.94</v>
      </c>
      <c r="P180" s="10">
        <f t="shared" si="6"/>
        <v>43.91650606</v>
      </c>
      <c r="Q180" s="10">
        <f t="shared" si="7"/>
        <v>2024</v>
      </c>
      <c r="R180" s="10">
        <f t="shared" si="8"/>
        <v>12</v>
      </c>
      <c r="S180" s="10" t="str">
        <f t="shared" si="9"/>
        <v>2024-12</v>
      </c>
    </row>
    <row r="181" ht="14.25" customHeight="1">
      <c r="A181" s="7" t="s">
        <v>207</v>
      </c>
      <c r="B181" s="8">
        <v>45708.0</v>
      </c>
      <c r="C181" s="7" t="s">
        <v>23</v>
      </c>
      <c r="D181" s="7" t="s">
        <v>21</v>
      </c>
      <c r="E181" s="9">
        <v>4731.44</v>
      </c>
      <c r="F181" s="9">
        <v>4424.67</v>
      </c>
      <c r="G181" s="9">
        <v>113689.0</v>
      </c>
      <c r="H181" s="9">
        <v>4258.0</v>
      </c>
      <c r="I181" s="9">
        <v>100.0</v>
      </c>
      <c r="J181" s="9">
        <v>2387.48</v>
      </c>
      <c r="K181" s="10">
        <f t="shared" si="1"/>
        <v>0.03745305175</v>
      </c>
      <c r="L181" s="10">
        <f t="shared" si="2"/>
        <v>1.03914279</v>
      </c>
      <c r="M181" s="10">
        <f t="shared" si="3"/>
        <v>44.2467</v>
      </c>
      <c r="N181" s="10">
        <f t="shared" si="4"/>
        <v>0.539583743</v>
      </c>
      <c r="O181" s="10">
        <f t="shared" si="5"/>
        <v>-2037.19</v>
      </c>
      <c r="P181" s="10">
        <f t="shared" si="6"/>
        <v>-85.32804463</v>
      </c>
      <c r="Q181" s="10">
        <f t="shared" si="7"/>
        <v>2025</v>
      </c>
      <c r="R181" s="10">
        <f t="shared" si="8"/>
        <v>2</v>
      </c>
      <c r="S181" s="10" t="str">
        <f t="shared" si="9"/>
        <v>2025-02</v>
      </c>
    </row>
    <row r="182" ht="14.25" customHeight="1">
      <c r="A182" s="7" t="s">
        <v>208</v>
      </c>
      <c r="B182" s="8">
        <v>45696.0</v>
      </c>
      <c r="C182" s="7" t="s">
        <v>33</v>
      </c>
      <c r="D182" s="7" t="s">
        <v>26</v>
      </c>
      <c r="E182" s="9">
        <v>9678.36</v>
      </c>
      <c r="F182" s="9">
        <v>9502.72</v>
      </c>
      <c r="G182" s="9">
        <v>72317.0</v>
      </c>
      <c r="H182" s="9">
        <v>1429.0</v>
      </c>
      <c r="I182" s="9">
        <v>157.0</v>
      </c>
      <c r="J182" s="9">
        <v>4216.91</v>
      </c>
      <c r="K182" s="10">
        <f t="shared" si="1"/>
        <v>0.01976022235</v>
      </c>
      <c r="L182" s="10">
        <f t="shared" si="2"/>
        <v>6.649909027</v>
      </c>
      <c r="M182" s="10">
        <f t="shared" si="3"/>
        <v>60.52687898</v>
      </c>
      <c r="N182" s="10">
        <f t="shared" si="4"/>
        <v>0.4437582082</v>
      </c>
      <c r="O182" s="10">
        <f t="shared" si="5"/>
        <v>-5285.81</v>
      </c>
      <c r="P182" s="10">
        <f t="shared" si="6"/>
        <v>-125.3479443</v>
      </c>
      <c r="Q182" s="10">
        <f t="shared" si="7"/>
        <v>2025</v>
      </c>
      <c r="R182" s="10">
        <f t="shared" si="8"/>
        <v>2</v>
      </c>
      <c r="S182" s="10" t="str">
        <f t="shared" si="9"/>
        <v>2025-02</v>
      </c>
    </row>
    <row r="183" ht="14.25" customHeight="1">
      <c r="A183" s="7" t="s">
        <v>209</v>
      </c>
      <c r="B183" s="8">
        <v>45715.0</v>
      </c>
      <c r="C183" s="7" t="s">
        <v>28</v>
      </c>
      <c r="D183" s="7" t="s">
        <v>24</v>
      </c>
      <c r="E183" s="9">
        <v>7701.9</v>
      </c>
      <c r="F183" s="9">
        <v>7589.75</v>
      </c>
      <c r="G183" s="9">
        <v>59223.0</v>
      </c>
      <c r="H183" s="9">
        <v>1286.0</v>
      </c>
      <c r="I183" s="9">
        <v>233.0</v>
      </c>
      <c r="J183" s="9">
        <v>7163.56</v>
      </c>
      <c r="K183" s="10">
        <f t="shared" si="1"/>
        <v>0.02171453658</v>
      </c>
      <c r="L183" s="10">
        <f t="shared" si="2"/>
        <v>5.901827372</v>
      </c>
      <c r="M183" s="10">
        <f t="shared" si="3"/>
        <v>32.57403433</v>
      </c>
      <c r="N183" s="10">
        <f t="shared" si="4"/>
        <v>0.9438466353</v>
      </c>
      <c r="O183" s="10">
        <f t="shared" si="5"/>
        <v>-426.19</v>
      </c>
      <c r="P183" s="10">
        <f t="shared" si="6"/>
        <v>-5.949416212</v>
      </c>
      <c r="Q183" s="10">
        <f t="shared" si="7"/>
        <v>2025</v>
      </c>
      <c r="R183" s="10">
        <f t="shared" si="8"/>
        <v>2</v>
      </c>
      <c r="S183" s="10" t="str">
        <f t="shared" si="9"/>
        <v>2025-02</v>
      </c>
    </row>
    <row r="184" ht="14.25" customHeight="1">
      <c r="A184" s="7" t="s">
        <v>210</v>
      </c>
      <c r="B184" s="8">
        <v>45702.0</v>
      </c>
      <c r="C184" s="7" t="s">
        <v>28</v>
      </c>
      <c r="D184" s="7" t="s">
        <v>29</v>
      </c>
      <c r="E184" s="9">
        <v>3794.9</v>
      </c>
      <c r="F184" s="9">
        <v>3800.49</v>
      </c>
      <c r="G184" s="9">
        <v>123058.0</v>
      </c>
      <c r="H184" s="9">
        <v>4679.0</v>
      </c>
      <c r="I184" s="9">
        <v>186.0</v>
      </c>
      <c r="J184" s="9">
        <v>6623.32</v>
      </c>
      <c r="K184" s="10">
        <f t="shared" si="1"/>
        <v>0.03802272099</v>
      </c>
      <c r="L184" s="10">
        <f t="shared" si="2"/>
        <v>0.8122440692</v>
      </c>
      <c r="M184" s="10">
        <f t="shared" si="3"/>
        <v>20.43274194</v>
      </c>
      <c r="N184" s="10">
        <f t="shared" si="4"/>
        <v>1.742754224</v>
      </c>
      <c r="O184" s="10">
        <f t="shared" si="5"/>
        <v>2822.83</v>
      </c>
      <c r="P184" s="10">
        <f t="shared" si="6"/>
        <v>42.61956239</v>
      </c>
      <c r="Q184" s="10">
        <f t="shared" si="7"/>
        <v>2025</v>
      </c>
      <c r="R184" s="10">
        <f t="shared" si="8"/>
        <v>2</v>
      </c>
      <c r="S184" s="10" t="str">
        <f t="shared" si="9"/>
        <v>2025-02</v>
      </c>
    </row>
    <row r="185" ht="14.25" customHeight="1">
      <c r="A185" s="7" t="s">
        <v>211</v>
      </c>
      <c r="B185" s="8">
        <v>45665.0</v>
      </c>
      <c r="C185" s="7" t="s">
        <v>28</v>
      </c>
      <c r="D185" s="7" t="s">
        <v>26</v>
      </c>
      <c r="E185" s="9">
        <v>8406.23</v>
      </c>
      <c r="F185" s="9">
        <v>8036.77</v>
      </c>
      <c r="G185" s="9">
        <v>133482.0</v>
      </c>
      <c r="H185" s="9">
        <v>2397.0</v>
      </c>
      <c r="I185" s="9">
        <v>50.0</v>
      </c>
      <c r="J185" s="9">
        <v>2278.27</v>
      </c>
      <c r="K185" s="10">
        <f t="shared" si="1"/>
        <v>0.01795747741</v>
      </c>
      <c r="L185" s="10">
        <f t="shared" si="2"/>
        <v>3.352845223</v>
      </c>
      <c r="M185" s="10">
        <f t="shared" si="3"/>
        <v>160.7354</v>
      </c>
      <c r="N185" s="10">
        <f t="shared" si="4"/>
        <v>0.2834808014</v>
      </c>
      <c r="O185" s="10">
        <f t="shared" si="5"/>
        <v>-5758.5</v>
      </c>
      <c r="P185" s="10">
        <f t="shared" si="6"/>
        <v>-252.7575748</v>
      </c>
      <c r="Q185" s="10">
        <f t="shared" si="7"/>
        <v>2025</v>
      </c>
      <c r="R185" s="10">
        <f t="shared" si="8"/>
        <v>1</v>
      </c>
      <c r="S185" s="10" t="str">
        <f t="shared" si="9"/>
        <v>2025-01</v>
      </c>
    </row>
    <row r="186" ht="14.25" customHeight="1">
      <c r="A186" s="7" t="s">
        <v>212</v>
      </c>
      <c r="B186" s="8">
        <v>45765.0</v>
      </c>
      <c r="C186" s="7" t="s">
        <v>20</v>
      </c>
      <c r="D186" s="7" t="s">
        <v>24</v>
      </c>
      <c r="E186" s="9">
        <v>6863.35</v>
      </c>
      <c r="F186" s="9">
        <v>6645.65</v>
      </c>
      <c r="G186" s="9">
        <v>130705.0</v>
      </c>
      <c r="H186" s="9">
        <v>4818.0</v>
      </c>
      <c r="I186" s="9">
        <v>159.0</v>
      </c>
      <c r="J186" s="9">
        <v>7361.64</v>
      </c>
      <c r="K186" s="10">
        <f t="shared" si="1"/>
        <v>0.03686163498</v>
      </c>
      <c r="L186" s="10">
        <f t="shared" si="2"/>
        <v>1.3793379</v>
      </c>
      <c r="M186" s="10">
        <f t="shared" si="3"/>
        <v>41.79654088</v>
      </c>
      <c r="N186" s="10">
        <f t="shared" si="4"/>
        <v>1.107738145</v>
      </c>
      <c r="O186" s="10">
        <f t="shared" si="5"/>
        <v>715.99</v>
      </c>
      <c r="P186" s="10">
        <f t="shared" si="6"/>
        <v>9.725957803</v>
      </c>
      <c r="Q186" s="10">
        <f t="shared" si="7"/>
        <v>2025</v>
      </c>
      <c r="R186" s="10">
        <f t="shared" si="8"/>
        <v>4</v>
      </c>
      <c r="S186" s="10" t="str">
        <f t="shared" si="9"/>
        <v>2025-04</v>
      </c>
    </row>
    <row r="187" ht="14.25" customHeight="1">
      <c r="A187" s="7" t="s">
        <v>213</v>
      </c>
      <c r="B187" s="8">
        <v>45729.0</v>
      </c>
      <c r="C187" s="7" t="s">
        <v>31</v>
      </c>
      <c r="D187" s="7" t="s">
        <v>21</v>
      </c>
      <c r="E187" s="9">
        <v>5824.38</v>
      </c>
      <c r="F187" s="9">
        <v>4893.67</v>
      </c>
      <c r="G187" s="9">
        <v>168213.0</v>
      </c>
      <c r="H187" s="9">
        <v>2627.0</v>
      </c>
      <c r="I187" s="9">
        <v>160.0</v>
      </c>
      <c r="J187" s="9">
        <v>3338.16</v>
      </c>
      <c r="K187" s="10">
        <f t="shared" si="1"/>
        <v>0.0156171045</v>
      </c>
      <c r="L187" s="10">
        <f t="shared" si="2"/>
        <v>1.862835935</v>
      </c>
      <c r="M187" s="10">
        <f t="shared" si="3"/>
        <v>30.5854375</v>
      </c>
      <c r="N187" s="10">
        <f t="shared" si="4"/>
        <v>0.6821383542</v>
      </c>
      <c r="O187" s="10">
        <f t="shared" si="5"/>
        <v>-1555.51</v>
      </c>
      <c r="P187" s="10">
        <f t="shared" si="6"/>
        <v>-46.59782635</v>
      </c>
      <c r="Q187" s="10">
        <f t="shared" si="7"/>
        <v>2025</v>
      </c>
      <c r="R187" s="10">
        <f t="shared" si="8"/>
        <v>3</v>
      </c>
      <c r="S187" s="10" t="str">
        <f t="shared" si="9"/>
        <v>2025-03</v>
      </c>
    </row>
    <row r="188" ht="14.25" customHeight="1">
      <c r="A188" s="7" t="s">
        <v>214</v>
      </c>
      <c r="B188" s="8">
        <v>45759.0</v>
      </c>
      <c r="C188" s="7" t="s">
        <v>20</v>
      </c>
      <c r="D188" s="7" t="s">
        <v>21</v>
      </c>
      <c r="E188" s="9">
        <v>8285.96</v>
      </c>
      <c r="F188" s="9">
        <v>8170.73</v>
      </c>
      <c r="G188" s="9">
        <v>55771.0</v>
      </c>
      <c r="H188" s="9">
        <v>1773.0</v>
      </c>
      <c r="I188" s="9">
        <v>177.0</v>
      </c>
      <c r="J188" s="9">
        <v>7278.66</v>
      </c>
      <c r="K188" s="10">
        <f t="shared" si="1"/>
        <v>0.0317907156</v>
      </c>
      <c r="L188" s="10">
        <f t="shared" si="2"/>
        <v>4.608420756</v>
      </c>
      <c r="M188" s="10">
        <f t="shared" si="3"/>
        <v>46.16231638</v>
      </c>
      <c r="N188" s="10">
        <f t="shared" si="4"/>
        <v>0.8908212608</v>
      </c>
      <c r="O188" s="10">
        <f t="shared" si="5"/>
        <v>-892.07</v>
      </c>
      <c r="P188" s="10">
        <f t="shared" si="6"/>
        <v>-12.2559647</v>
      </c>
      <c r="Q188" s="10">
        <f t="shared" si="7"/>
        <v>2025</v>
      </c>
      <c r="R188" s="10">
        <f t="shared" si="8"/>
        <v>4</v>
      </c>
      <c r="S188" s="10" t="str">
        <f t="shared" si="9"/>
        <v>2025-04</v>
      </c>
    </row>
    <row r="189" ht="14.25" customHeight="1">
      <c r="A189" s="7" t="s">
        <v>215</v>
      </c>
      <c r="B189" s="8">
        <v>45725.0</v>
      </c>
      <c r="C189" s="7" t="s">
        <v>28</v>
      </c>
      <c r="D189" s="7" t="s">
        <v>24</v>
      </c>
      <c r="E189" s="9">
        <v>4490.75</v>
      </c>
      <c r="F189" s="9">
        <v>3776.32</v>
      </c>
      <c r="G189" s="9">
        <v>158774.0</v>
      </c>
      <c r="H189" s="9">
        <v>5263.0</v>
      </c>
      <c r="I189" s="9">
        <v>268.0</v>
      </c>
      <c r="J189" s="9">
        <v>5476.94</v>
      </c>
      <c r="K189" s="10">
        <f t="shared" si="1"/>
        <v>0.03314774459</v>
      </c>
      <c r="L189" s="10">
        <f t="shared" si="2"/>
        <v>0.7175223257</v>
      </c>
      <c r="M189" s="10">
        <f t="shared" si="3"/>
        <v>14.09074627</v>
      </c>
      <c r="N189" s="10">
        <f t="shared" si="4"/>
        <v>1.450337895</v>
      </c>
      <c r="O189" s="10">
        <f t="shared" si="5"/>
        <v>1700.62</v>
      </c>
      <c r="P189" s="10">
        <f t="shared" si="6"/>
        <v>31.05055012</v>
      </c>
      <c r="Q189" s="10">
        <f t="shared" si="7"/>
        <v>2025</v>
      </c>
      <c r="R189" s="10">
        <f t="shared" si="8"/>
        <v>3</v>
      </c>
      <c r="S189" s="10" t="str">
        <f t="shared" si="9"/>
        <v>2025-03</v>
      </c>
    </row>
    <row r="190" ht="14.25" customHeight="1">
      <c r="A190" s="7" t="s">
        <v>216</v>
      </c>
      <c r="B190" s="8">
        <v>45643.0</v>
      </c>
      <c r="C190" s="7" t="s">
        <v>20</v>
      </c>
      <c r="D190" s="7" t="s">
        <v>29</v>
      </c>
      <c r="E190" s="9">
        <v>5454.11</v>
      </c>
      <c r="F190" s="9">
        <v>5328.53</v>
      </c>
      <c r="G190" s="9">
        <v>167161.0</v>
      </c>
      <c r="H190" s="9">
        <v>1156.0</v>
      </c>
      <c r="I190" s="9">
        <v>85.0</v>
      </c>
      <c r="J190" s="9">
        <v>2700.22</v>
      </c>
      <c r="K190" s="10">
        <f t="shared" si="1"/>
        <v>0.006915488661</v>
      </c>
      <c r="L190" s="10">
        <f t="shared" si="2"/>
        <v>4.609455017</v>
      </c>
      <c r="M190" s="10">
        <f t="shared" si="3"/>
        <v>62.68858824</v>
      </c>
      <c r="N190" s="10">
        <f t="shared" si="4"/>
        <v>0.5067476396</v>
      </c>
      <c r="O190" s="10">
        <f t="shared" si="5"/>
        <v>-2628.31</v>
      </c>
      <c r="P190" s="10">
        <f t="shared" si="6"/>
        <v>-97.33688366</v>
      </c>
      <c r="Q190" s="10">
        <f t="shared" si="7"/>
        <v>2024</v>
      </c>
      <c r="R190" s="10">
        <f t="shared" si="8"/>
        <v>12</v>
      </c>
      <c r="S190" s="10" t="str">
        <f t="shared" si="9"/>
        <v>2024-12</v>
      </c>
    </row>
    <row r="191" ht="14.25" customHeight="1">
      <c r="A191" s="7" t="s">
        <v>217</v>
      </c>
      <c r="B191" s="8">
        <v>45804.0</v>
      </c>
      <c r="C191" s="7" t="s">
        <v>23</v>
      </c>
      <c r="D191" s="7" t="s">
        <v>26</v>
      </c>
      <c r="E191" s="9">
        <v>6062.32</v>
      </c>
      <c r="F191" s="9">
        <v>6494.25</v>
      </c>
      <c r="G191" s="9">
        <v>54315.0</v>
      </c>
      <c r="H191" s="9">
        <v>1126.0</v>
      </c>
      <c r="I191" s="9">
        <v>180.0</v>
      </c>
      <c r="J191" s="9">
        <v>5480.58</v>
      </c>
      <c r="K191" s="10">
        <f t="shared" si="1"/>
        <v>0.02073092148</v>
      </c>
      <c r="L191" s="10">
        <f t="shared" si="2"/>
        <v>5.767539964</v>
      </c>
      <c r="M191" s="10">
        <f t="shared" si="3"/>
        <v>36.07916667</v>
      </c>
      <c r="N191" s="10">
        <f t="shared" si="4"/>
        <v>0.843912692</v>
      </c>
      <c r="O191" s="10">
        <f t="shared" si="5"/>
        <v>-1013.67</v>
      </c>
      <c r="P191" s="10">
        <f t="shared" si="6"/>
        <v>-18.49567017</v>
      </c>
      <c r="Q191" s="10">
        <f t="shared" si="7"/>
        <v>2025</v>
      </c>
      <c r="R191" s="10">
        <f t="shared" si="8"/>
        <v>5</v>
      </c>
      <c r="S191" s="10" t="str">
        <f t="shared" si="9"/>
        <v>2025-05</v>
      </c>
    </row>
    <row r="192" ht="14.25" customHeight="1">
      <c r="A192" s="7" t="s">
        <v>218</v>
      </c>
      <c r="B192" s="8">
        <v>45703.0</v>
      </c>
      <c r="C192" s="7" t="s">
        <v>31</v>
      </c>
      <c r="D192" s="7" t="s">
        <v>21</v>
      </c>
      <c r="E192" s="9">
        <v>6597.93</v>
      </c>
      <c r="F192" s="9">
        <v>6829.49</v>
      </c>
      <c r="G192" s="9">
        <v>112474.0</v>
      </c>
      <c r="H192" s="9">
        <v>3364.0</v>
      </c>
      <c r="I192" s="9">
        <v>62.0</v>
      </c>
      <c r="J192" s="9">
        <v>1977.57</v>
      </c>
      <c r="K192" s="10">
        <f t="shared" si="1"/>
        <v>0.02990913456</v>
      </c>
      <c r="L192" s="10">
        <f t="shared" si="2"/>
        <v>2.030169441</v>
      </c>
      <c r="M192" s="10">
        <f t="shared" si="3"/>
        <v>110.1530645</v>
      </c>
      <c r="N192" s="10">
        <f t="shared" si="4"/>
        <v>0.2895633495</v>
      </c>
      <c r="O192" s="10">
        <f t="shared" si="5"/>
        <v>-4851.92</v>
      </c>
      <c r="P192" s="10">
        <f t="shared" si="6"/>
        <v>-245.347573</v>
      </c>
      <c r="Q192" s="10">
        <f t="shared" si="7"/>
        <v>2025</v>
      </c>
      <c r="R192" s="10">
        <f t="shared" si="8"/>
        <v>2</v>
      </c>
      <c r="S192" s="10" t="str">
        <f t="shared" si="9"/>
        <v>2025-02</v>
      </c>
    </row>
    <row r="193" ht="14.25" customHeight="1">
      <c r="A193" s="7" t="s">
        <v>219</v>
      </c>
      <c r="B193" s="8">
        <v>45673.0</v>
      </c>
      <c r="C193" s="7" t="s">
        <v>23</v>
      </c>
      <c r="D193" s="7" t="s">
        <v>29</v>
      </c>
      <c r="E193" s="9">
        <v>7354.61</v>
      </c>
      <c r="F193" s="9">
        <v>7786.39</v>
      </c>
      <c r="G193" s="9">
        <v>76227.0</v>
      </c>
      <c r="H193" s="9">
        <v>3059.0</v>
      </c>
      <c r="I193" s="9">
        <v>504.0</v>
      </c>
      <c r="J193" s="9">
        <v>24436.75</v>
      </c>
      <c r="K193" s="10">
        <f t="shared" si="1"/>
        <v>0.04013013762</v>
      </c>
      <c r="L193" s="10">
        <f t="shared" si="2"/>
        <v>2.545403727</v>
      </c>
      <c r="M193" s="10">
        <f t="shared" si="3"/>
        <v>15.44918651</v>
      </c>
      <c r="N193" s="10">
        <f t="shared" si="4"/>
        <v>3.13839276</v>
      </c>
      <c r="O193" s="10">
        <f t="shared" si="5"/>
        <v>16650.36</v>
      </c>
      <c r="P193" s="10">
        <f t="shared" si="6"/>
        <v>68.13655662</v>
      </c>
      <c r="Q193" s="10">
        <f t="shared" si="7"/>
        <v>2025</v>
      </c>
      <c r="R193" s="10">
        <f t="shared" si="8"/>
        <v>1</v>
      </c>
      <c r="S193" s="10" t="str">
        <f t="shared" si="9"/>
        <v>2025-01</v>
      </c>
    </row>
    <row r="194" ht="14.25" customHeight="1">
      <c r="A194" s="7" t="s">
        <v>220</v>
      </c>
      <c r="B194" s="8">
        <v>45747.0</v>
      </c>
      <c r="C194" s="7" t="s">
        <v>28</v>
      </c>
      <c r="D194" s="7" t="s">
        <v>29</v>
      </c>
      <c r="E194" s="9">
        <v>4029.51</v>
      </c>
      <c r="F194" s="9">
        <v>4343.72</v>
      </c>
      <c r="G194" s="9">
        <v>85573.0</v>
      </c>
      <c r="H194" s="9">
        <v>1887.0</v>
      </c>
      <c r="I194" s="9">
        <v>171.0</v>
      </c>
      <c r="J194" s="9">
        <v>5944.56</v>
      </c>
      <c r="K194" s="10">
        <f t="shared" si="1"/>
        <v>0.02205134797</v>
      </c>
      <c r="L194" s="10">
        <f t="shared" si="2"/>
        <v>2.301918389</v>
      </c>
      <c r="M194" s="10">
        <f t="shared" si="3"/>
        <v>25.40187135</v>
      </c>
      <c r="N194" s="10">
        <f t="shared" si="4"/>
        <v>1.36854125</v>
      </c>
      <c r="O194" s="10">
        <f t="shared" si="5"/>
        <v>1600.84</v>
      </c>
      <c r="P194" s="10">
        <f t="shared" si="6"/>
        <v>26.9294952</v>
      </c>
      <c r="Q194" s="10">
        <f t="shared" si="7"/>
        <v>2025</v>
      </c>
      <c r="R194" s="10">
        <f t="shared" si="8"/>
        <v>3</v>
      </c>
      <c r="S194" s="10" t="str">
        <f t="shared" si="9"/>
        <v>2025-03</v>
      </c>
    </row>
    <row r="195" ht="14.25" customHeight="1">
      <c r="A195" s="7" t="s">
        <v>221</v>
      </c>
      <c r="B195" s="8">
        <v>45641.0</v>
      </c>
      <c r="C195" s="7" t="s">
        <v>33</v>
      </c>
      <c r="D195" s="7" t="s">
        <v>24</v>
      </c>
      <c r="E195" s="9">
        <v>4807.71</v>
      </c>
      <c r="F195" s="9">
        <v>4508.39</v>
      </c>
      <c r="G195" s="9">
        <v>156215.0</v>
      </c>
      <c r="H195" s="9">
        <v>6524.0</v>
      </c>
      <c r="I195" s="9">
        <v>641.0</v>
      </c>
      <c r="J195" s="9">
        <v>31666.03</v>
      </c>
      <c r="K195" s="10">
        <f t="shared" si="1"/>
        <v>0.0417629549</v>
      </c>
      <c r="L195" s="10">
        <f t="shared" si="2"/>
        <v>0.6910469037</v>
      </c>
      <c r="M195" s="10">
        <f t="shared" si="3"/>
        <v>7.033369735</v>
      </c>
      <c r="N195" s="10">
        <f t="shared" si="4"/>
        <v>7.023800071</v>
      </c>
      <c r="O195" s="10">
        <f t="shared" si="5"/>
        <v>27157.64</v>
      </c>
      <c r="P195" s="10">
        <f t="shared" si="6"/>
        <v>85.7626927</v>
      </c>
      <c r="Q195" s="10">
        <f t="shared" si="7"/>
        <v>2024</v>
      </c>
      <c r="R195" s="10">
        <f t="shared" si="8"/>
        <v>12</v>
      </c>
      <c r="S195" s="10" t="str">
        <f t="shared" si="9"/>
        <v>2024-12</v>
      </c>
    </row>
    <row r="196" ht="14.25" customHeight="1">
      <c r="A196" s="7" t="s">
        <v>222</v>
      </c>
      <c r="B196" s="8">
        <v>45817.0</v>
      </c>
      <c r="C196" s="7" t="s">
        <v>23</v>
      </c>
      <c r="D196" s="7" t="s">
        <v>29</v>
      </c>
      <c r="E196" s="9">
        <v>6448.33</v>
      </c>
      <c r="F196" s="9">
        <v>5794.63</v>
      </c>
      <c r="G196" s="9">
        <v>83163.0</v>
      </c>
      <c r="H196" s="9">
        <v>2401.0</v>
      </c>
      <c r="I196" s="9">
        <v>165.0</v>
      </c>
      <c r="J196" s="9">
        <v>6435.33</v>
      </c>
      <c r="K196" s="10">
        <f t="shared" si="1"/>
        <v>0.02887101235</v>
      </c>
      <c r="L196" s="10">
        <f t="shared" si="2"/>
        <v>2.413423574</v>
      </c>
      <c r="M196" s="10">
        <f t="shared" si="3"/>
        <v>35.1189697</v>
      </c>
      <c r="N196" s="10">
        <f t="shared" si="4"/>
        <v>1.110567888</v>
      </c>
      <c r="O196" s="10">
        <f t="shared" si="5"/>
        <v>640.7</v>
      </c>
      <c r="P196" s="10">
        <f t="shared" si="6"/>
        <v>9.955977394</v>
      </c>
      <c r="Q196" s="10">
        <f t="shared" si="7"/>
        <v>2025</v>
      </c>
      <c r="R196" s="10">
        <f t="shared" si="8"/>
        <v>6</v>
      </c>
      <c r="S196" s="10" t="str">
        <f t="shared" si="9"/>
        <v>2025-06</v>
      </c>
    </row>
    <row r="197" ht="14.25" customHeight="1">
      <c r="A197" s="7" t="s">
        <v>223</v>
      </c>
      <c r="B197" s="8">
        <v>45776.0</v>
      </c>
      <c r="C197" s="7" t="s">
        <v>31</v>
      </c>
      <c r="D197" s="7" t="s">
        <v>29</v>
      </c>
      <c r="E197" s="9">
        <v>4681.02</v>
      </c>
      <c r="F197" s="9">
        <v>3851.35</v>
      </c>
      <c r="G197" s="9">
        <v>122395.0</v>
      </c>
      <c r="H197" s="9">
        <v>3701.0</v>
      </c>
      <c r="I197" s="9">
        <v>421.0</v>
      </c>
      <c r="J197" s="9">
        <v>10047.75</v>
      </c>
      <c r="K197" s="10">
        <f t="shared" si="1"/>
        <v>0.03023816332</v>
      </c>
      <c r="L197" s="10">
        <f t="shared" si="2"/>
        <v>1.040624156</v>
      </c>
      <c r="M197" s="10">
        <f t="shared" si="3"/>
        <v>9.148099762</v>
      </c>
      <c r="N197" s="10">
        <f t="shared" si="4"/>
        <v>2.608890389</v>
      </c>
      <c r="O197" s="10">
        <f t="shared" si="5"/>
        <v>6196.4</v>
      </c>
      <c r="P197" s="10">
        <f t="shared" si="6"/>
        <v>61.669528</v>
      </c>
      <c r="Q197" s="10">
        <f t="shared" si="7"/>
        <v>2025</v>
      </c>
      <c r="R197" s="10">
        <f t="shared" si="8"/>
        <v>4</v>
      </c>
      <c r="S197" s="10" t="str">
        <f t="shared" si="9"/>
        <v>2025-04</v>
      </c>
    </row>
    <row r="198" ht="14.25" customHeight="1">
      <c r="A198" s="7" t="s">
        <v>224</v>
      </c>
      <c r="B198" s="8">
        <v>45680.0</v>
      </c>
      <c r="C198" s="7" t="s">
        <v>20</v>
      </c>
      <c r="D198" s="7" t="s">
        <v>26</v>
      </c>
      <c r="E198" s="9">
        <v>3896.32</v>
      </c>
      <c r="F198" s="9">
        <v>3294.61</v>
      </c>
      <c r="G198" s="9">
        <v>148880.0</v>
      </c>
      <c r="H198" s="9">
        <v>1344.0</v>
      </c>
      <c r="I198" s="9">
        <v>233.0</v>
      </c>
      <c r="J198" s="9">
        <v>5630.4</v>
      </c>
      <c r="K198" s="10">
        <f t="shared" si="1"/>
        <v>0.009027404621</v>
      </c>
      <c r="L198" s="10">
        <f t="shared" si="2"/>
        <v>2.451346726</v>
      </c>
      <c r="M198" s="10">
        <f t="shared" si="3"/>
        <v>14.13995708</v>
      </c>
      <c r="N198" s="10">
        <f t="shared" si="4"/>
        <v>1.708973141</v>
      </c>
      <c r="O198" s="10">
        <f t="shared" si="5"/>
        <v>2335.79</v>
      </c>
      <c r="P198" s="10">
        <f t="shared" si="6"/>
        <v>41.48532964</v>
      </c>
      <c r="Q198" s="10">
        <f t="shared" si="7"/>
        <v>2025</v>
      </c>
      <c r="R198" s="10">
        <f t="shared" si="8"/>
        <v>1</v>
      </c>
      <c r="S198" s="10" t="str">
        <f t="shared" si="9"/>
        <v>2025-01</v>
      </c>
    </row>
    <row r="199" ht="14.25" customHeight="1">
      <c r="A199" s="7" t="s">
        <v>225</v>
      </c>
      <c r="B199" s="8">
        <v>45638.0</v>
      </c>
      <c r="C199" s="7" t="s">
        <v>31</v>
      </c>
      <c r="D199" s="7" t="s">
        <v>29</v>
      </c>
      <c r="E199" s="9">
        <v>7486.12</v>
      </c>
      <c r="F199" s="9">
        <v>6397.37</v>
      </c>
      <c r="G199" s="9">
        <v>150378.0</v>
      </c>
      <c r="H199" s="9">
        <v>1516.0</v>
      </c>
      <c r="I199" s="9">
        <v>269.0</v>
      </c>
      <c r="J199" s="9">
        <v>8169.53</v>
      </c>
      <c r="K199" s="10">
        <f t="shared" si="1"/>
        <v>0.01008126189</v>
      </c>
      <c r="L199" s="10">
        <f t="shared" si="2"/>
        <v>4.219901055</v>
      </c>
      <c r="M199" s="10">
        <f t="shared" si="3"/>
        <v>23.78204461</v>
      </c>
      <c r="N199" s="10">
        <f t="shared" si="4"/>
        <v>1.277013835</v>
      </c>
      <c r="O199" s="10">
        <f t="shared" si="5"/>
        <v>1772.16</v>
      </c>
      <c r="P199" s="10">
        <f t="shared" si="6"/>
        <v>21.69231278</v>
      </c>
      <c r="Q199" s="10">
        <f t="shared" si="7"/>
        <v>2024</v>
      </c>
      <c r="R199" s="10">
        <f t="shared" si="8"/>
        <v>12</v>
      </c>
      <c r="S199" s="10" t="str">
        <f t="shared" si="9"/>
        <v>2024-12</v>
      </c>
    </row>
    <row r="200" ht="14.25" customHeight="1">
      <c r="A200" s="7" t="s">
        <v>226</v>
      </c>
      <c r="B200" s="8">
        <v>45726.0</v>
      </c>
      <c r="C200" s="7" t="s">
        <v>28</v>
      </c>
      <c r="D200" s="7" t="s">
        <v>26</v>
      </c>
      <c r="E200" s="9">
        <v>9277.52</v>
      </c>
      <c r="F200" s="9">
        <v>8741.17</v>
      </c>
      <c r="G200" s="9">
        <v>141253.0</v>
      </c>
      <c r="H200" s="9">
        <v>2934.0</v>
      </c>
      <c r="I200" s="9">
        <v>357.0</v>
      </c>
      <c r="J200" s="9">
        <v>14289.54</v>
      </c>
      <c r="K200" s="10">
        <f t="shared" si="1"/>
        <v>0.02077124026</v>
      </c>
      <c r="L200" s="10">
        <f t="shared" si="2"/>
        <v>2.979267212</v>
      </c>
      <c r="M200" s="10">
        <f t="shared" si="3"/>
        <v>24.48507003</v>
      </c>
      <c r="N200" s="10">
        <f t="shared" si="4"/>
        <v>1.634739972</v>
      </c>
      <c r="O200" s="10">
        <f t="shared" si="5"/>
        <v>5548.37</v>
      </c>
      <c r="P200" s="10">
        <f t="shared" si="6"/>
        <v>38.82819181</v>
      </c>
      <c r="Q200" s="10">
        <f t="shared" si="7"/>
        <v>2025</v>
      </c>
      <c r="R200" s="10">
        <f t="shared" si="8"/>
        <v>3</v>
      </c>
      <c r="S200" s="10" t="str">
        <f t="shared" si="9"/>
        <v>2025-03</v>
      </c>
    </row>
    <row r="201" ht="14.25" customHeight="1">
      <c r="A201" s="7" t="s">
        <v>227</v>
      </c>
      <c r="B201" s="8">
        <v>45758.0</v>
      </c>
      <c r="C201" s="7" t="s">
        <v>33</v>
      </c>
      <c r="D201" s="7" t="s">
        <v>24</v>
      </c>
      <c r="E201" s="9">
        <v>4206.24</v>
      </c>
      <c r="F201" s="9">
        <v>3607.64</v>
      </c>
      <c r="G201" s="9">
        <v>171015.0</v>
      </c>
      <c r="H201" s="9">
        <v>7567.0</v>
      </c>
      <c r="I201" s="9">
        <v>1110.0</v>
      </c>
      <c r="J201" s="9">
        <v>23560.92</v>
      </c>
      <c r="K201" s="10">
        <f t="shared" si="1"/>
        <v>0.04424758062</v>
      </c>
      <c r="L201" s="10">
        <f t="shared" si="2"/>
        <v>0.4767596141</v>
      </c>
      <c r="M201" s="10">
        <f t="shared" si="3"/>
        <v>3.250126126</v>
      </c>
      <c r="N201" s="10">
        <f t="shared" si="4"/>
        <v>6.530840106</v>
      </c>
      <c r="O201" s="10">
        <f t="shared" si="5"/>
        <v>19953.28</v>
      </c>
      <c r="P201" s="10">
        <f t="shared" si="6"/>
        <v>84.68803425</v>
      </c>
      <c r="Q201" s="10">
        <f t="shared" si="7"/>
        <v>2025</v>
      </c>
      <c r="R201" s="10">
        <f t="shared" si="8"/>
        <v>4</v>
      </c>
      <c r="S201" s="10" t="str">
        <f t="shared" si="9"/>
        <v>2025-04</v>
      </c>
    </row>
    <row r="202" ht="14.25" customHeight="1">
      <c r="A202" s="7" t="s">
        <v>228</v>
      </c>
      <c r="B202" s="8">
        <v>45807.0</v>
      </c>
      <c r="C202" s="7" t="s">
        <v>31</v>
      </c>
      <c r="D202" s="7" t="s">
        <v>24</v>
      </c>
      <c r="E202" s="9">
        <v>4182.55</v>
      </c>
      <c r="F202" s="9">
        <v>3695.61</v>
      </c>
      <c r="G202" s="9">
        <v>127713.0</v>
      </c>
      <c r="H202" s="9">
        <v>1869.0</v>
      </c>
      <c r="I202" s="9">
        <v>349.0</v>
      </c>
      <c r="J202" s="9">
        <v>8833.3</v>
      </c>
      <c r="K202" s="10">
        <f t="shared" si="1"/>
        <v>0.01463437551</v>
      </c>
      <c r="L202" s="10">
        <f t="shared" si="2"/>
        <v>1.977319422</v>
      </c>
      <c r="M202" s="10">
        <f t="shared" si="3"/>
        <v>10.5891404</v>
      </c>
      <c r="N202" s="10">
        <f t="shared" si="4"/>
        <v>2.390214335</v>
      </c>
      <c r="O202" s="10">
        <f t="shared" si="5"/>
        <v>5137.69</v>
      </c>
      <c r="P202" s="10">
        <f t="shared" si="6"/>
        <v>58.16274778</v>
      </c>
      <c r="Q202" s="10">
        <f t="shared" si="7"/>
        <v>2025</v>
      </c>
      <c r="R202" s="10">
        <f t="shared" si="8"/>
        <v>5</v>
      </c>
      <c r="S202" s="10" t="str">
        <f t="shared" si="9"/>
        <v>2025-05</v>
      </c>
    </row>
    <row r="203" ht="14.25" customHeight="1">
      <c r="A203" s="7" t="s">
        <v>229</v>
      </c>
      <c r="B203" s="8">
        <v>45816.0</v>
      </c>
      <c r="C203" s="7" t="s">
        <v>28</v>
      </c>
      <c r="D203" s="7" t="s">
        <v>24</v>
      </c>
      <c r="E203" s="9">
        <v>3620.92</v>
      </c>
      <c r="F203" s="9">
        <v>3027.78</v>
      </c>
      <c r="G203" s="9">
        <v>95400.0</v>
      </c>
      <c r="H203" s="9">
        <v>1371.0</v>
      </c>
      <c r="I203" s="9">
        <v>250.0</v>
      </c>
      <c r="J203" s="9">
        <v>8455.84</v>
      </c>
      <c r="K203" s="10">
        <f t="shared" si="1"/>
        <v>0.01437106918</v>
      </c>
      <c r="L203" s="10">
        <f t="shared" si="2"/>
        <v>2.208446389</v>
      </c>
      <c r="M203" s="10">
        <f t="shared" si="3"/>
        <v>12.11112</v>
      </c>
      <c r="N203" s="10">
        <f t="shared" si="4"/>
        <v>2.792752446</v>
      </c>
      <c r="O203" s="10">
        <f t="shared" si="5"/>
        <v>5428.06</v>
      </c>
      <c r="P203" s="10">
        <f t="shared" si="6"/>
        <v>64.19303109</v>
      </c>
      <c r="Q203" s="10">
        <f t="shared" si="7"/>
        <v>2025</v>
      </c>
      <c r="R203" s="10">
        <f t="shared" si="8"/>
        <v>6</v>
      </c>
      <c r="S203" s="10" t="str">
        <f t="shared" si="9"/>
        <v>2025-06</v>
      </c>
    </row>
    <row r="204" ht="14.25" customHeight="1">
      <c r="A204" s="7" t="s">
        <v>230</v>
      </c>
      <c r="B204" s="8">
        <v>45647.0</v>
      </c>
      <c r="C204" s="7" t="s">
        <v>20</v>
      </c>
      <c r="D204" s="7" t="s">
        <v>21</v>
      </c>
      <c r="E204" s="9">
        <v>4444.34</v>
      </c>
      <c r="F204" s="9">
        <v>4041.15</v>
      </c>
      <c r="G204" s="9">
        <v>154562.0</v>
      </c>
      <c r="H204" s="9">
        <v>4028.0</v>
      </c>
      <c r="I204" s="9">
        <v>250.0</v>
      </c>
      <c r="J204" s="9">
        <v>8775.63</v>
      </c>
      <c r="K204" s="10">
        <f t="shared" si="1"/>
        <v>0.02606073938</v>
      </c>
      <c r="L204" s="10">
        <f t="shared" si="2"/>
        <v>1.003264647</v>
      </c>
      <c r="M204" s="10">
        <f t="shared" si="3"/>
        <v>16.1646</v>
      </c>
      <c r="N204" s="10">
        <f t="shared" si="4"/>
        <v>2.171567499</v>
      </c>
      <c r="O204" s="10">
        <f t="shared" si="5"/>
        <v>4734.48</v>
      </c>
      <c r="P204" s="10">
        <f t="shared" si="6"/>
        <v>53.95031468</v>
      </c>
      <c r="Q204" s="10">
        <f t="shared" si="7"/>
        <v>2024</v>
      </c>
      <c r="R204" s="10">
        <f t="shared" si="8"/>
        <v>12</v>
      </c>
      <c r="S204" s="10" t="str">
        <f t="shared" si="9"/>
        <v>2024-12</v>
      </c>
    </row>
    <row r="205" ht="14.25" customHeight="1">
      <c r="A205" s="7" t="s">
        <v>231</v>
      </c>
      <c r="B205" s="8">
        <v>45780.0</v>
      </c>
      <c r="C205" s="7" t="s">
        <v>28</v>
      </c>
      <c r="D205" s="7" t="s">
        <v>29</v>
      </c>
      <c r="E205" s="9">
        <v>7832.76</v>
      </c>
      <c r="F205" s="9">
        <v>6358.58</v>
      </c>
      <c r="G205" s="9">
        <v>100148.0</v>
      </c>
      <c r="H205" s="9">
        <v>1610.0</v>
      </c>
      <c r="I205" s="9">
        <v>112.0</v>
      </c>
      <c r="J205" s="9">
        <v>4926.02</v>
      </c>
      <c r="K205" s="10">
        <f t="shared" si="1"/>
        <v>0.01607620721</v>
      </c>
      <c r="L205" s="10">
        <f t="shared" si="2"/>
        <v>3.949428571</v>
      </c>
      <c r="M205" s="10">
        <f t="shared" si="3"/>
        <v>56.77303571</v>
      </c>
      <c r="N205" s="10">
        <f t="shared" si="4"/>
        <v>0.7747044151</v>
      </c>
      <c r="O205" s="10">
        <f t="shared" si="5"/>
        <v>-1432.56</v>
      </c>
      <c r="P205" s="10">
        <f t="shared" si="6"/>
        <v>-29.08148972</v>
      </c>
      <c r="Q205" s="10">
        <f t="shared" si="7"/>
        <v>2025</v>
      </c>
      <c r="R205" s="10">
        <f t="shared" si="8"/>
        <v>5</v>
      </c>
      <c r="S205" s="10" t="str">
        <f t="shared" si="9"/>
        <v>2025-05</v>
      </c>
    </row>
    <row r="206" ht="14.25" customHeight="1">
      <c r="A206" s="7" t="s">
        <v>232</v>
      </c>
      <c r="B206" s="8">
        <v>45715.0</v>
      </c>
      <c r="C206" s="7" t="s">
        <v>20</v>
      </c>
      <c r="D206" s="7" t="s">
        <v>24</v>
      </c>
      <c r="E206" s="9">
        <v>7395.3</v>
      </c>
      <c r="F206" s="9">
        <v>6097.63</v>
      </c>
      <c r="G206" s="9">
        <v>109858.0</v>
      </c>
      <c r="H206" s="9">
        <v>3804.0</v>
      </c>
      <c r="I206" s="9">
        <v>713.0</v>
      </c>
      <c r="J206" s="9">
        <v>32945.85</v>
      </c>
      <c r="K206" s="10">
        <f t="shared" si="1"/>
        <v>0.03462651787</v>
      </c>
      <c r="L206" s="10">
        <f t="shared" si="2"/>
        <v>1.602952156</v>
      </c>
      <c r="M206" s="10">
        <f t="shared" si="3"/>
        <v>8.552075736</v>
      </c>
      <c r="N206" s="10">
        <f t="shared" si="4"/>
        <v>5.403058237</v>
      </c>
      <c r="O206" s="10">
        <f t="shared" si="5"/>
        <v>26848.22</v>
      </c>
      <c r="P206" s="10">
        <f t="shared" si="6"/>
        <v>81.49196333</v>
      </c>
      <c r="Q206" s="10">
        <f t="shared" si="7"/>
        <v>2025</v>
      </c>
      <c r="R206" s="10">
        <f t="shared" si="8"/>
        <v>2</v>
      </c>
      <c r="S206" s="10" t="str">
        <f t="shared" si="9"/>
        <v>2025-02</v>
      </c>
    </row>
    <row r="207" ht="14.25" customHeight="1">
      <c r="A207" s="7" t="s">
        <v>233</v>
      </c>
      <c r="B207" s="8">
        <v>45762.0</v>
      </c>
      <c r="C207" s="7" t="s">
        <v>33</v>
      </c>
      <c r="D207" s="7" t="s">
        <v>24</v>
      </c>
      <c r="E207" s="9">
        <v>9446.11</v>
      </c>
      <c r="F207" s="9">
        <v>7729.97</v>
      </c>
      <c r="G207" s="9">
        <v>158340.0</v>
      </c>
      <c r="H207" s="9">
        <v>2273.0</v>
      </c>
      <c r="I207" s="9">
        <v>434.0</v>
      </c>
      <c r="J207" s="9">
        <v>12284.95</v>
      </c>
      <c r="K207" s="10">
        <f t="shared" si="1"/>
        <v>0.01435518504</v>
      </c>
      <c r="L207" s="10">
        <f t="shared" si="2"/>
        <v>3.400778707</v>
      </c>
      <c r="M207" s="10">
        <f t="shared" si="3"/>
        <v>17.81099078</v>
      </c>
      <c r="N207" s="10">
        <f t="shared" si="4"/>
        <v>1.589262313</v>
      </c>
      <c r="O207" s="10">
        <f t="shared" si="5"/>
        <v>4554.98</v>
      </c>
      <c r="P207" s="10">
        <f t="shared" si="6"/>
        <v>37.07772518</v>
      </c>
      <c r="Q207" s="10">
        <f t="shared" si="7"/>
        <v>2025</v>
      </c>
      <c r="R207" s="10">
        <f t="shared" si="8"/>
        <v>4</v>
      </c>
      <c r="S207" s="10" t="str">
        <f t="shared" si="9"/>
        <v>2025-04</v>
      </c>
    </row>
    <row r="208" ht="14.25" customHeight="1">
      <c r="A208" s="7" t="s">
        <v>234</v>
      </c>
      <c r="B208" s="8">
        <v>45769.0</v>
      </c>
      <c r="C208" s="7" t="s">
        <v>28</v>
      </c>
      <c r="D208" s="7" t="s">
        <v>29</v>
      </c>
      <c r="E208" s="9">
        <v>8643.41</v>
      </c>
      <c r="F208" s="9">
        <v>8854.98</v>
      </c>
      <c r="G208" s="9">
        <v>114026.0</v>
      </c>
      <c r="H208" s="9">
        <v>4773.0</v>
      </c>
      <c r="I208" s="9">
        <v>185.0</v>
      </c>
      <c r="J208" s="9">
        <v>4724.09</v>
      </c>
      <c r="K208" s="10">
        <f t="shared" si="1"/>
        <v>0.04185887429</v>
      </c>
      <c r="L208" s="10">
        <f t="shared" si="2"/>
        <v>1.85522313</v>
      </c>
      <c r="M208" s="10">
        <f t="shared" si="3"/>
        <v>47.86475676</v>
      </c>
      <c r="N208" s="10">
        <f t="shared" si="4"/>
        <v>0.5334952761</v>
      </c>
      <c r="O208" s="10">
        <f t="shared" si="5"/>
        <v>-4130.89</v>
      </c>
      <c r="P208" s="10">
        <f t="shared" si="6"/>
        <v>-87.44308428</v>
      </c>
      <c r="Q208" s="10">
        <f t="shared" si="7"/>
        <v>2025</v>
      </c>
      <c r="R208" s="10">
        <f t="shared" si="8"/>
        <v>4</v>
      </c>
      <c r="S208" s="10" t="str">
        <f t="shared" si="9"/>
        <v>2025-04</v>
      </c>
    </row>
    <row r="209" ht="14.25" customHeight="1">
      <c r="A209" s="7" t="s">
        <v>235</v>
      </c>
      <c r="B209" s="8">
        <v>45796.0</v>
      </c>
      <c r="C209" s="7" t="s">
        <v>33</v>
      </c>
      <c r="D209" s="7" t="s">
        <v>24</v>
      </c>
      <c r="E209" s="9">
        <v>4465.45</v>
      </c>
      <c r="F209" s="9">
        <v>4068.66</v>
      </c>
      <c r="G209" s="9">
        <v>188606.0</v>
      </c>
      <c r="H209" s="9">
        <v>1714.0</v>
      </c>
      <c r="I209" s="9">
        <v>194.0</v>
      </c>
      <c r="J209" s="9">
        <v>6699.92</v>
      </c>
      <c r="K209" s="10">
        <f t="shared" si="1"/>
        <v>0.009087727856</v>
      </c>
      <c r="L209" s="10">
        <f t="shared" si="2"/>
        <v>2.37378063</v>
      </c>
      <c r="M209" s="10">
        <f t="shared" si="3"/>
        <v>20.97247423</v>
      </c>
      <c r="N209" s="10">
        <f t="shared" si="4"/>
        <v>1.646714152</v>
      </c>
      <c r="O209" s="10">
        <f t="shared" si="5"/>
        <v>2631.26</v>
      </c>
      <c r="P209" s="10">
        <f t="shared" si="6"/>
        <v>39.27300624</v>
      </c>
      <c r="Q209" s="10">
        <f t="shared" si="7"/>
        <v>2025</v>
      </c>
      <c r="R209" s="10">
        <f t="shared" si="8"/>
        <v>5</v>
      </c>
      <c r="S209" s="10" t="str">
        <f t="shared" si="9"/>
        <v>2025-05</v>
      </c>
    </row>
    <row r="210" ht="14.25" customHeight="1">
      <c r="A210" s="7" t="s">
        <v>236</v>
      </c>
      <c r="B210" s="8">
        <v>45802.0</v>
      </c>
      <c r="C210" s="7" t="s">
        <v>31</v>
      </c>
      <c r="D210" s="7" t="s">
        <v>24</v>
      </c>
      <c r="E210" s="9">
        <v>7327.78</v>
      </c>
      <c r="F210" s="9">
        <v>6673.22</v>
      </c>
      <c r="G210" s="9">
        <v>137418.0</v>
      </c>
      <c r="H210" s="9">
        <v>4255.0</v>
      </c>
      <c r="I210" s="9">
        <v>107.0</v>
      </c>
      <c r="J210" s="9">
        <v>3624.74</v>
      </c>
      <c r="K210" s="10">
        <f t="shared" si="1"/>
        <v>0.0309639203</v>
      </c>
      <c r="L210" s="10">
        <f t="shared" si="2"/>
        <v>1.568324324</v>
      </c>
      <c r="M210" s="10">
        <f t="shared" si="3"/>
        <v>62.36654206</v>
      </c>
      <c r="N210" s="10">
        <f t="shared" si="4"/>
        <v>0.543177057</v>
      </c>
      <c r="O210" s="10">
        <f t="shared" si="5"/>
        <v>-3048.48</v>
      </c>
      <c r="P210" s="10">
        <f t="shared" si="6"/>
        <v>-84.10203215</v>
      </c>
      <c r="Q210" s="10">
        <f t="shared" si="7"/>
        <v>2025</v>
      </c>
      <c r="R210" s="10">
        <f t="shared" si="8"/>
        <v>5</v>
      </c>
      <c r="S210" s="10" t="str">
        <f t="shared" si="9"/>
        <v>2025-05</v>
      </c>
    </row>
    <row r="211" ht="14.25" customHeight="1">
      <c r="A211" s="7" t="s">
        <v>237</v>
      </c>
      <c r="B211" s="8">
        <v>45637.0</v>
      </c>
      <c r="C211" s="7" t="s">
        <v>31</v>
      </c>
      <c r="D211" s="7" t="s">
        <v>29</v>
      </c>
      <c r="E211" s="9">
        <v>8232.3</v>
      </c>
      <c r="F211" s="9">
        <v>6676.44</v>
      </c>
      <c r="G211" s="9">
        <v>195298.0</v>
      </c>
      <c r="H211" s="9">
        <v>3830.0</v>
      </c>
      <c r="I211" s="9">
        <v>340.0</v>
      </c>
      <c r="J211" s="9">
        <v>9374.86</v>
      </c>
      <c r="K211" s="10">
        <f t="shared" si="1"/>
        <v>0.01961105592</v>
      </c>
      <c r="L211" s="10">
        <f t="shared" si="2"/>
        <v>1.743195822</v>
      </c>
      <c r="M211" s="10">
        <f t="shared" si="3"/>
        <v>19.63658824</v>
      </c>
      <c r="N211" s="10">
        <f t="shared" si="4"/>
        <v>1.404170486</v>
      </c>
      <c r="O211" s="10">
        <f t="shared" si="5"/>
        <v>2698.42</v>
      </c>
      <c r="P211" s="10">
        <f t="shared" si="6"/>
        <v>28.7835765</v>
      </c>
      <c r="Q211" s="10">
        <f t="shared" si="7"/>
        <v>2024</v>
      </c>
      <c r="R211" s="10">
        <f t="shared" si="8"/>
        <v>12</v>
      </c>
      <c r="S211" s="10" t="str">
        <f t="shared" si="9"/>
        <v>2024-12</v>
      </c>
    </row>
    <row r="212" ht="14.25" customHeight="1">
      <c r="A212" s="7" t="s">
        <v>238</v>
      </c>
      <c r="B212" s="8">
        <v>45746.0</v>
      </c>
      <c r="C212" s="7" t="s">
        <v>31</v>
      </c>
      <c r="D212" s="7" t="s">
        <v>24</v>
      </c>
      <c r="E212" s="9">
        <v>7993.45</v>
      </c>
      <c r="F212" s="9">
        <v>8541.5</v>
      </c>
      <c r="G212" s="9">
        <v>191329.0</v>
      </c>
      <c r="H212" s="9">
        <v>5806.0</v>
      </c>
      <c r="I212" s="9">
        <v>454.0</v>
      </c>
      <c r="J212" s="9">
        <v>16049.05</v>
      </c>
      <c r="K212" s="10">
        <f t="shared" si="1"/>
        <v>0.03034563501</v>
      </c>
      <c r="L212" s="10">
        <f t="shared" si="2"/>
        <v>1.471150534</v>
      </c>
      <c r="M212" s="10">
        <f t="shared" si="3"/>
        <v>18.81387665</v>
      </c>
      <c r="N212" s="10">
        <f t="shared" si="4"/>
        <v>1.878949833</v>
      </c>
      <c r="O212" s="10">
        <f t="shared" si="5"/>
        <v>7507.55</v>
      </c>
      <c r="P212" s="10">
        <f t="shared" si="6"/>
        <v>46.7787813</v>
      </c>
      <c r="Q212" s="10">
        <f t="shared" si="7"/>
        <v>2025</v>
      </c>
      <c r="R212" s="10">
        <f t="shared" si="8"/>
        <v>3</v>
      </c>
      <c r="S212" s="10" t="str">
        <f t="shared" si="9"/>
        <v>2025-03</v>
      </c>
    </row>
    <row r="213" ht="14.25" customHeight="1">
      <c r="A213" s="7" t="s">
        <v>239</v>
      </c>
      <c r="B213" s="8">
        <v>45793.0</v>
      </c>
      <c r="C213" s="7" t="s">
        <v>33</v>
      </c>
      <c r="D213" s="7" t="s">
        <v>21</v>
      </c>
      <c r="E213" s="9">
        <v>6724.79</v>
      </c>
      <c r="F213" s="9">
        <v>5596.04</v>
      </c>
      <c r="G213" s="9">
        <v>118663.0</v>
      </c>
      <c r="H213" s="9">
        <v>2481.0</v>
      </c>
      <c r="I213" s="9">
        <v>397.0</v>
      </c>
      <c r="J213" s="9">
        <v>13268.68</v>
      </c>
      <c r="K213" s="10">
        <f t="shared" si="1"/>
        <v>0.0209079494</v>
      </c>
      <c r="L213" s="10">
        <f t="shared" si="2"/>
        <v>2.255558243</v>
      </c>
      <c r="M213" s="10">
        <f t="shared" si="3"/>
        <v>14.09581864</v>
      </c>
      <c r="N213" s="10">
        <f t="shared" si="4"/>
        <v>2.371083838</v>
      </c>
      <c r="O213" s="10">
        <f t="shared" si="5"/>
        <v>7672.64</v>
      </c>
      <c r="P213" s="10">
        <f t="shared" si="6"/>
        <v>57.82519437</v>
      </c>
      <c r="Q213" s="10">
        <f t="shared" si="7"/>
        <v>2025</v>
      </c>
      <c r="R213" s="10">
        <f t="shared" si="8"/>
        <v>5</v>
      </c>
      <c r="S213" s="10" t="str">
        <f t="shared" si="9"/>
        <v>2025-05</v>
      </c>
    </row>
    <row r="214" ht="14.25" customHeight="1">
      <c r="A214" s="7" t="s">
        <v>240</v>
      </c>
      <c r="B214" s="8">
        <v>45770.0</v>
      </c>
      <c r="C214" s="7" t="s">
        <v>33</v>
      </c>
      <c r="D214" s="7" t="s">
        <v>29</v>
      </c>
      <c r="E214" s="9">
        <v>6728.32</v>
      </c>
      <c r="F214" s="9">
        <v>5872.08</v>
      </c>
      <c r="G214" s="9">
        <v>55825.0</v>
      </c>
      <c r="H214" s="9">
        <v>2436.0</v>
      </c>
      <c r="I214" s="9">
        <v>144.0</v>
      </c>
      <c r="J214" s="9">
        <v>4043.13</v>
      </c>
      <c r="K214" s="10">
        <f t="shared" si="1"/>
        <v>0.04363636364</v>
      </c>
      <c r="L214" s="10">
        <f t="shared" si="2"/>
        <v>2.410541872</v>
      </c>
      <c r="M214" s="10">
        <f t="shared" si="3"/>
        <v>40.77833333</v>
      </c>
      <c r="N214" s="10">
        <f t="shared" si="4"/>
        <v>0.6885345567</v>
      </c>
      <c r="O214" s="10">
        <f t="shared" si="5"/>
        <v>-1828.95</v>
      </c>
      <c r="P214" s="10">
        <f t="shared" si="6"/>
        <v>-45.23599291</v>
      </c>
      <c r="Q214" s="10">
        <f t="shared" si="7"/>
        <v>2025</v>
      </c>
      <c r="R214" s="10">
        <f t="shared" si="8"/>
        <v>4</v>
      </c>
      <c r="S214" s="10" t="str">
        <f t="shared" si="9"/>
        <v>2025-04</v>
      </c>
    </row>
    <row r="215" ht="14.25" customHeight="1">
      <c r="A215" s="7" t="s">
        <v>241</v>
      </c>
      <c r="B215" s="8">
        <v>45658.0</v>
      </c>
      <c r="C215" s="7" t="s">
        <v>31</v>
      </c>
      <c r="D215" s="7" t="s">
        <v>26</v>
      </c>
      <c r="E215" s="9">
        <v>5640.99</v>
      </c>
      <c r="F215" s="9">
        <v>4546.76</v>
      </c>
      <c r="G215" s="9">
        <v>53730.0</v>
      </c>
      <c r="H215" s="9">
        <v>2251.0</v>
      </c>
      <c r="I215" s="9">
        <v>253.0</v>
      </c>
      <c r="J215" s="9">
        <v>7504.58</v>
      </c>
      <c r="K215" s="10">
        <f t="shared" si="1"/>
        <v>0.04189465848</v>
      </c>
      <c r="L215" s="10">
        <f t="shared" si="2"/>
        <v>2.019884496</v>
      </c>
      <c r="M215" s="10">
        <f t="shared" si="3"/>
        <v>17.9713834</v>
      </c>
      <c r="N215" s="10">
        <f t="shared" si="4"/>
        <v>1.650533567</v>
      </c>
      <c r="O215" s="10">
        <f t="shared" si="5"/>
        <v>2957.82</v>
      </c>
      <c r="P215" s="10">
        <f t="shared" si="6"/>
        <v>39.41353147</v>
      </c>
      <c r="Q215" s="10">
        <f t="shared" si="7"/>
        <v>2025</v>
      </c>
      <c r="R215" s="10">
        <f t="shared" si="8"/>
        <v>1</v>
      </c>
      <c r="S215" s="10" t="str">
        <f t="shared" si="9"/>
        <v>2025-01</v>
      </c>
    </row>
    <row r="216" ht="14.25" customHeight="1">
      <c r="A216" s="7" t="s">
        <v>242</v>
      </c>
      <c r="B216" s="8">
        <v>45636.0</v>
      </c>
      <c r="C216" s="7" t="s">
        <v>20</v>
      </c>
      <c r="D216" s="7" t="s">
        <v>21</v>
      </c>
      <c r="E216" s="9">
        <v>4480.14</v>
      </c>
      <c r="F216" s="9">
        <v>4024.28</v>
      </c>
      <c r="G216" s="9">
        <v>177951.0</v>
      </c>
      <c r="H216" s="9">
        <v>3898.0</v>
      </c>
      <c r="I216" s="9">
        <v>283.0</v>
      </c>
      <c r="J216" s="9">
        <v>6676.78</v>
      </c>
      <c r="K216" s="10">
        <f t="shared" si="1"/>
        <v>0.02190490641</v>
      </c>
      <c r="L216" s="10">
        <f t="shared" si="2"/>
        <v>1.032396101</v>
      </c>
      <c r="M216" s="10">
        <f t="shared" si="3"/>
        <v>14.22007067</v>
      </c>
      <c r="N216" s="10">
        <f t="shared" si="4"/>
        <v>1.659124117</v>
      </c>
      <c r="O216" s="10">
        <f t="shared" si="5"/>
        <v>2652.5</v>
      </c>
      <c r="P216" s="10">
        <f t="shared" si="6"/>
        <v>39.72723379</v>
      </c>
      <c r="Q216" s="10">
        <f t="shared" si="7"/>
        <v>2024</v>
      </c>
      <c r="R216" s="10">
        <f t="shared" si="8"/>
        <v>12</v>
      </c>
      <c r="S216" s="10" t="str">
        <f t="shared" si="9"/>
        <v>2024-12</v>
      </c>
    </row>
    <row r="217" ht="14.25" customHeight="1">
      <c r="A217" s="7" t="s">
        <v>243</v>
      </c>
      <c r="B217" s="8">
        <v>45771.0</v>
      </c>
      <c r="C217" s="7" t="s">
        <v>20</v>
      </c>
      <c r="D217" s="7" t="s">
        <v>21</v>
      </c>
      <c r="E217" s="9">
        <v>9233.69</v>
      </c>
      <c r="F217" s="9">
        <v>9031.27</v>
      </c>
      <c r="G217" s="9">
        <v>52910.0</v>
      </c>
      <c r="H217" s="9">
        <v>1772.0</v>
      </c>
      <c r="I217" s="9">
        <v>184.0</v>
      </c>
      <c r="J217" s="9">
        <v>7428.64</v>
      </c>
      <c r="K217" s="10">
        <f t="shared" si="1"/>
        <v>0.03349083349</v>
      </c>
      <c r="L217" s="10">
        <f t="shared" si="2"/>
        <v>5.096653499</v>
      </c>
      <c r="M217" s="10">
        <f t="shared" si="3"/>
        <v>49.08298913</v>
      </c>
      <c r="N217" s="10">
        <f t="shared" si="4"/>
        <v>0.8225465521</v>
      </c>
      <c r="O217" s="10">
        <f t="shared" si="5"/>
        <v>-1602.63</v>
      </c>
      <c r="P217" s="10">
        <f t="shared" si="6"/>
        <v>-21.57366624</v>
      </c>
      <c r="Q217" s="10">
        <f t="shared" si="7"/>
        <v>2025</v>
      </c>
      <c r="R217" s="10">
        <f t="shared" si="8"/>
        <v>4</v>
      </c>
      <c r="S217" s="10" t="str">
        <f t="shared" si="9"/>
        <v>2025-04</v>
      </c>
    </row>
    <row r="218" ht="14.25" customHeight="1">
      <c r="A218" s="7" t="s">
        <v>244</v>
      </c>
      <c r="B218" s="8">
        <v>45656.0</v>
      </c>
      <c r="C218" s="7" t="s">
        <v>33</v>
      </c>
      <c r="D218" s="7" t="s">
        <v>26</v>
      </c>
      <c r="E218" s="9">
        <v>8524.2</v>
      </c>
      <c r="F218" s="9">
        <v>8094.01</v>
      </c>
      <c r="G218" s="9">
        <v>57737.0</v>
      </c>
      <c r="H218" s="9">
        <v>1530.0</v>
      </c>
      <c r="I218" s="9">
        <v>286.0</v>
      </c>
      <c r="J218" s="9">
        <v>6465.78</v>
      </c>
      <c r="K218" s="10">
        <f t="shared" si="1"/>
        <v>0.02649947174</v>
      </c>
      <c r="L218" s="10">
        <f t="shared" si="2"/>
        <v>5.290202614</v>
      </c>
      <c r="M218" s="10">
        <f t="shared" si="3"/>
        <v>28.30073427</v>
      </c>
      <c r="N218" s="10">
        <f t="shared" si="4"/>
        <v>0.798835188</v>
      </c>
      <c r="O218" s="10">
        <f t="shared" si="5"/>
        <v>-1628.23</v>
      </c>
      <c r="P218" s="10">
        <f t="shared" si="6"/>
        <v>-25.18226726</v>
      </c>
      <c r="Q218" s="10">
        <f t="shared" si="7"/>
        <v>2024</v>
      </c>
      <c r="R218" s="10">
        <f t="shared" si="8"/>
        <v>12</v>
      </c>
      <c r="S218" s="10" t="str">
        <f t="shared" si="9"/>
        <v>2024-12</v>
      </c>
    </row>
    <row r="219" ht="14.25" customHeight="1">
      <c r="A219" s="7" t="s">
        <v>245</v>
      </c>
      <c r="B219" s="8">
        <v>45689.0</v>
      </c>
      <c r="C219" s="7" t="s">
        <v>28</v>
      </c>
      <c r="D219" s="7" t="s">
        <v>29</v>
      </c>
      <c r="E219" s="9">
        <v>6759.75</v>
      </c>
      <c r="F219" s="9">
        <v>6597.87</v>
      </c>
      <c r="G219" s="9">
        <v>167465.0</v>
      </c>
      <c r="H219" s="9">
        <v>5881.0</v>
      </c>
      <c r="I219" s="9">
        <v>966.0</v>
      </c>
      <c r="J219" s="9">
        <v>40922.84</v>
      </c>
      <c r="K219" s="10">
        <f t="shared" si="1"/>
        <v>0.03511778581</v>
      </c>
      <c r="L219" s="10">
        <f t="shared" si="2"/>
        <v>1.121895936</v>
      </c>
      <c r="M219" s="10">
        <f t="shared" si="3"/>
        <v>6.830093168</v>
      </c>
      <c r="N219" s="10">
        <f t="shared" si="4"/>
        <v>6.202431997</v>
      </c>
      <c r="O219" s="10">
        <f t="shared" si="5"/>
        <v>34324.97</v>
      </c>
      <c r="P219" s="10">
        <f t="shared" si="6"/>
        <v>83.877292</v>
      </c>
      <c r="Q219" s="10">
        <f t="shared" si="7"/>
        <v>2025</v>
      </c>
      <c r="R219" s="10">
        <f t="shared" si="8"/>
        <v>2</v>
      </c>
      <c r="S219" s="10" t="str">
        <f t="shared" si="9"/>
        <v>2025-02</v>
      </c>
    </row>
    <row r="220" ht="14.25" customHeight="1">
      <c r="A220" s="7" t="s">
        <v>246</v>
      </c>
      <c r="B220" s="8">
        <v>45727.0</v>
      </c>
      <c r="C220" s="7" t="s">
        <v>33</v>
      </c>
      <c r="D220" s="7" t="s">
        <v>21</v>
      </c>
      <c r="E220" s="9">
        <v>6021.62</v>
      </c>
      <c r="F220" s="9">
        <v>5047.77</v>
      </c>
      <c r="G220" s="9">
        <v>133310.0</v>
      </c>
      <c r="H220" s="9">
        <v>4783.0</v>
      </c>
      <c r="I220" s="9">
        <v>857.0</v>
      </c>
      <c r="J220" s="9">
        <v>24435.88</v>
      </c>
      <c r="K220" s="10">
        <f t="shared" si="1"/>
        <v>0.03587877879</v>
      </c>
      <c r="L220" s="10">
        <f t="shared" si="2"/>
        <v>1.055356471</v>
      </c>
      <c r="M220" s="10">
        <f t="shared" si="3"/>
        <v>5.890046674</v>
      </c>
      <c r="N220" s="10">
        <f t="shared" si="4"/>
        <v>4.840925795</v>
      </c>
      <c r="O220" s="10">
        <f t="shared" si="5"/>
        <v>19388.11</v>
      </c>
      <c r="P220" s="10">
        <f t="shared" si="6"/>
        <v>79.34279428</v>
      </c>
      <c r="Q220" s="10">
        <f t="shared" si="7"/>
        <v>2025</v>
      </c>
      <c r="R220" s="10">
        <f t="shared" si="8"/>
        <v>3</v>
      </c>
      <c r="S220" s="10" t="str">
        <f t="shared" si="9"/>
        <v>2025-03</v>
      </c>
    </row>
    <row r="221" ht="14.25" customHeight="1">
      <c r="A221" s="7" t="s">
        <v>247</v>
      </c>
      <c r="B221" s="8">
        <v>45707.0</v>
      </c>
      <c r="C221" s="7" t="s">
        <v>33</v>
      </c>
      <c r="D221" s="7" t="s">
        <v>21</v>
      </c>
      <c r="E221" s="9">
        <v>5541.58</v>
      </c>
      <c r="F221" s="9">
        <v>5507.08</v>
      </c>
      <c r="G221" s="9">
        <v>113210.0</v>
      </c>
      <c r="H221" s="9">
        <v>1277.0</v>
      </c>
      <c r="I221" s="9">
        <v>208.0</v>
      </c>
      <c r="J221" s="9">
        <v>7721.66</v>
      </c>
      <c r="K221" s="10">
        <f t="shared" si="1"/>
        <v>0.01127992227</v>
      </c>
      <c r="L221" s="10">
        <f t="shared" si="2"/>
        <v>4.312513704</v>
      </c>
      <c r="M221" s="10">
        <f t="shared" si="3"/>
        <v>26.47634615</v>
      </c>
      <c r="N221" s="10">
        <f t="shared" si="4"/>
        <v>1.402133254</v>
      </c>
      <c r="O221" s="10">
        <f t="shared" si="5"/>
        <v>2214.58</v>
      </c>
      <c r="P221" s="10">
        <f t="shared" si="6"/>
        <v>28.68010247</v>
      </c>
      <c r="Q221" s="10">
        <f t="shared" si="7"/>
        <v>2025</v>
      </c>
      <c r="R221" s="10">
        <f t="shared" si="8"/>
        <v>2</v>
      </c>
      <c r="S221" s="10" t="str">
        <f t="shared" si="9"/>
        <v>2025-02</v>
      </c>
    </row>
    <row r="222" ht="14.25" customHeight="1">
      <c r="A222" s="7" t="s">
        <v>248</v>
      </c>
      <c r="B222" s="8">
        <v>45744.0</v>
      </c>
      <c r="C222" s="7" t="s">
        <v>31</v>
      </c>
      <c r="D222" s="7" t="s">
        <v>24</v>
      </c>
      <c r="E222" s="9">
        <v>5492.68</v>
      </c>
      <c r="F222" s="9">
        <v>6019.73</v>
      </c>
      <c r="G222" s="9">
        <v>186208.0</v>
      </c>
      <c r="H222" s="9">
        <v>1504.0</v>
      </c>
      <c r="I222" s="9">
        <v>92.0</v>
      </c>
      <c r="J222" s="9">
        <v>3511.94</v>
      </c>
      <c r="K222" s="10">
        <f t="shared" si="1"/>
        <v>0.008076989173</v>
      </c>
      <c r="L222" s="10">
        <f t="shared" si="2"/>
        <v>4.002480053</v>
      </c>
      <c r="M222" s="10">
        <f t="shared" si="3"/>
        <v>65.43184783</v>
      </c>
      <c r="N222" s="10">
        <f t="shared" si="4"/>
        <v>0.5834049035</v>
      </c>
      <c r="O222" s="10">
        <f t="shared" si="5"/>
        <v>-2507.79</v>
      </c>
      <c r="P222" s="10">
        <f t="shared" si="6"/>
        <v>-71.40754113</v>
      </c>
      <c r="Q222" s="10">
        <f t="shared" si="7"/>
        <v>2025</v>
      </c>
      <c r="R222" s="10">
        <f t="shared" si="8"/>
        <v>3</v>
      </c>
      <c r="S222" s="10" t="str">
        <f t="shared" si="9"/>
        <v>2025-03</v>
      </c>
    </row>
    <row r="223" ht="14.25" customHeight="1">
      <c r="A223" s="7" t="s">
        <v>249</v>
      </c>
      <c r="B223" s="8">
        <v>45790.0</v>
      </c>
      <c r="C223" s="7" t="s">
        <v>33</v>
      </c>
      <c r="D223" s="7" t="s">
        <v>24</v>
      </c>
      <c r="E223" s="9">
        <v>4660.59</v>
      </c>
      <c r="F223" s="9">
        <v>3870.78</v>
      </c>
      <c r="G223" s="9">
        <v>197176.0</v>
      </c>
      <c r="H223" s="9">
        <v>7746.0</v>
      </c>
      <c r="I223" s="9">
        <v>512.0</v>
      </c>
      <c r="J223" s="9">
        <v>12587.92</v>
      </c>
      <c r="K223" s="10">
        <f t="shared" si="1"/>
        <v>0.03928469996</v>
      </c>
      <c r="L223" s="10">
        <f t="shared" si="2"/>
        <v>0.4997134005</v>
      </c>
      <c r="M223" s="10">
        <f t="shared" si="3"/>
        <v>7.560117188</v>
      </c>
      <c r="N223" s="10">
        <f t="shared" si="4"/>
        <v>3.252037057</v>
      </c>
      <c r="O223" s="10">
        <f t="shared" si="5"/>
        <v>8717.14</v>
      </c>
      <c r="P223" s="10">
        <f t="shared" si="6"/>
        <v>69.2500429</v>
      </c>
      <c r="Q223" s="10">
        <f t="shared" si="7"/>
        <v>2025</v>
      </c>
      <c r="R223" s="10">
        <f t="shared" si="8"/>
        <v>5</v>
      </c>
      <c r="S223" s="10" t="str">
        <f t="shared" si="9"/>
        <v>2025-05</v>
      </c>
    </row>
    <row r="224" ht="14.25" customHeight="1">
      <c r="A224" s="7" t="s">
        <v>250</v>
      </c>
      <c r="B224" s="8">
        <v>45675.0</v>
      </c>
      <c r="C224" s="7" t="s">
        <v>33</v>
      </c>
      <c r="D224" s="7" t="s">
        <v>21</v>
      </c>
      <c r="E224" s="9">
        <v>4721.7</v>
      </c>
      <c r="F224" s="9">
        <v>4004.97</v>
      </c>
      <c r="G224" s="9">
        <v>138708.0</v>
      </c>
      <c r="H224" s="9">
        <v>3409.0</v>
      </c>
      <c r="I224" s="9">
        <v>272.0</v>
      </c>
      <c r="J224" s="9">
        <v>6962.39</v>
      </c>
      <c r="K224" s="10">
        <f t="shared" si="1"/>
        <v>0.02457680884</v>
      </c>
      <c r="L224" s="10">
        <f t="shared" si="2"/>
        <v>1.174822529</v>
      </c>
      <c r="M224" s="10">
        <f t="shared" si="3"/>
        <v>14.72415441</v>
      </c>
      <c r="N224" s="10">
        <f t="shared" si="4"/>
        <v>1.738437491</v>
      </c>
      <c r="O224" s="10">
        <f t="shared" si="5"/>
        <v>2957.42</v>
      </c>
      <c r="P224" s="10">
        <f t="shared" si="6"/>
        <v>42.47708043</v>
      </c>
      <c r="Q224" s="10">
        <f t="shared" si="7"/>
        <v>2025</v>
      </c>
      <c r="R224" s="10">
        <f t="shared" si="8"/>
        <v>1</v>
      </c>
      <c r="S224" s="10" t="str">
        <f t="shared" si="9"/>
        <v>2025-01</v>
      </c>
    </row>
    <row r="225" ht="14.25" customHeight="1">
      <c r="A225" s="7" t="s">
        <v>251</v>
      </c>
      <c r="B225" s="8">
        <v>45751.0</v>
      </c>
      <c r="C225" s="7" t="s">
        <v>23</v>
      </c>
      <c r="D225" s="7" t="s">
        <v>24</v>
      </c>
      <c r="E225" s="9">
        <v>4995.67</v>
      </c>
      <c r="F225" s="9">
        <v>4256.37</v>
      </c>
      <c r="G225" s="9">
        <v>198805.0</v>
      </c>
      <c r="H225" s="9">
        <v>7934.0</v>
      </c>
      <c r="I225" s="9">
        <v>818.0</v>
      </c>
      <c r="J225" s="9">
        <v>38366.62</v>
      </c>
      <c r="K225" s="10">
        <f t="shared" si="1"/>
        <v>0.03990845301</v>
      </c>
      <c r="L225" s="10">
        <f t="shared" si="2"/>
        <v>0.5364721452</v>
      </c>
      <c r="M225" s="10">
        <f t="shared" si="3"/>
        <v>5.203386308</v>
      </c>
      <c r="N225" s="10">
        <f t="shared" si="4"/>
        <v>9.01392971</v>
      </c>
      <c r="O225" s="10">
        <f t="shared" si="5"/>
        <v>34110.25</v>
      </c>
      <c r="P225" s="10">
        <f t="shared" si="6"/>
        <v>88.90605949</v>
      </c>
      <c r="Q225" s="10">
        <f t="shared" si="7"/>
        <v>2025</v>
      </c>
      <c r="R225" s="10">
        <f t="shared" si="8"/>
        <v>4</v>
      </c>
      <c r="S225" s="10" t="str">
        <f t="shared" si="9"/>
        <v>2025-04</v>
      </c>
    </row>
    <row r="226" ht="14.25" customHeight="1">
      <c r="A226" s="7" t="s">
        <v>252</v>
      </c>
      <c r="B226" s="8">
        <v>45806.0</v>
      </c>
      <c r="C226" s="7" t="s">
        <v>20</v>
      </c>
      <c r="D226" s="7" t="s">
        <v>29</v>
      </c>
      <c r="E226" s="9">
        <v>3561.64</v>
      </c>
      <c r="F226" s="9">
        <v>3409.75</v>
      </c>
      <c r="G226" s="9">
        <v>89656.0</v>
      </c>
      <c r="H226" s="9">
        <v>1499.0</v>
      </c>
      <c r="I226" s="9">
        <v>94.0</v>
      </c>
      <c r="J226" s="9">
        <v>3037.32</v>
      </c>
      <c r="K226" s="10">
        <f t="shared" si="1"/>
        <v>0.01671946105</v>
      </c>
      <c r="L226" s="10">
        <f t="shared" si="2"/>
        <v>2.274683122</v>
      </c>
      <c r="M226" s="10">
        <f t="shared" si="3"/>
        <v>36.27393617</v>
      </c>
      <c r="N226" s="10">
        <f t="shared" si="4"/>
        <v>0.8907749835</v>
      </c>
      <c r="O226" s="10">
        <f t="shared" si="5"/>
        <v>-372.43</v>
      </c>
      <c r="P226" s="10">
        <f t="shared" si="6"/>
        <v>-12.26179658</v>
      </c>
      <c r="Q226" s="10">
        <f t="shared" si="7"/>
        <v>2025</v>
      </c>
      <c r="R226" s="10">
        <f t="shared" si="8"/>
        <v>5</v>
      </c>
      <c r="S226" s="10" t="str">
        <f t="shared" si="9"/>
        <v>2025-05</v>
      </c>
    </row>
    <row r="227" ht="14.25" customHeight="1">
      <c r="A227" s="7" t="s">
        <v>253</v>
      </c>
      <c r="B227" s="8">
        <v>45643.0</v>
      </c>
      <c r="C227" s="7" t="s">
        <v>28</v>
      </c>
      <c r="D227" s="7" t="s">
        <v>29</v>
      </c>
      <c r="E227" s="9">
        <v>9876.65</v>
      </c>
      <c r="F227" s="9">
        <v>8233.29</v>
      </c>
      <c r="G227" s="9">
        <v>99291.0</v>
      </c>
      <c r="H227" s="9">
        <v>1323.0</v>
      </c>
      <c r="I227" s="9">
        <v>252.0</v>
      </c>
      <c r="J227" s="9">
        <v>8047.79</v>
      </c>
      <c r="K227" s="10">
        <f t="shared" si="1"/>
        <v>0.0133244705</v>
      </c>
      <c r="L227" s="10">
        <f t="shared" si="2"/>
        <v>6.223197279</v>
      </c>
      <c r="M227" s="10">
        <f t="shared" si="3"/>
        <v>32.67178571</v>
      </c>
      <c r="N227" s="10">
        <f t="shared" si="4"/>
        <v>0.977469517</v>
      </c>
      <c r="O227" s="10">
        <f t="shared" si="5"/>
        <v>-185.5</v>
      </c>
      <c r="P227" s="10">
        <f t="shared" si="6"/>
        <v>-2.304980622</v>
      </c>
      <c r="Q227" s="10">
        <f t="shared" si="7"/>
        <v>2024</v>
      </c>
      <c r="R227" s="10">
        <f t="shared" si="8"/>
        <v>12</v>
      </c>
      <c r="S227" s="10" t="str">
        <f t="shared" si="9"/>
        <v>2024-12</v>
      </c>
    </row>
    <row r="228" ht="14.25" customHeight="1">
      <c r="A228" s="7" t="s">
        <v>254</v>
      </c>
      <c r="B228" s="8">
        <v>45709.0</v>
      </c>
      <c r="C228" s="7" t="s">
        <v>31</v>
      </c>
      <c r="D228" s="7" t="s">
        <v>26</v>
      </c>
      <c r="E228" s="9">
        <v>9786.29</v>
      </c>
      <c r="F228" s="9">
        <v>10370.06</v>
      </c>
      <c r="G228" s="9">
        <v>111502.0</v>
      </c>
      <c r="H228" s="9">
        <v>5082.0</v>
      </c>
      <c r="I228" s="9">
        <v>149.0</v>
      </c>
      <c r="J228" s="9">
        <v>6632.31</v>
      </c>
      <c r="K228" s="10">
        <f t="shared" si="1"/>
        <v>0.0455776578</v>
      </c>
      <c r="L228" s="10">
        <f t="shared" si="2"/>
        <v>2.040547029</v>
      </c>
      <c r="M228" s="10">
        <f t="shared" si="3"/>
        <v>69.59771812</v>
      </c>
      <c r="N228" s="10">
        <f t="shared" si="4"/>
        <v>0.6395633198</v>
      </c>
      <c r="O228" s="10">
        <f t="shared" si="5"/>
        <v>-3737.75</v>
      </c>
      <c r="P228" s="10">
        <f t="shared" si="6"/>
        <v>-56.35668417</v>
      </c>
      <c r="Q228" s="10">
        <f t="shared" si="7"/>
        <v>2025</v>
      </c>
      <c r="R228" s="10">
        <f t="shared" si="8"/>
        <v>2</v>
      </c>
      <c r="S228" s="10" t="str">
        <f t="shared" si="9"/>
        <v>2025-02</v>
      </c>
    </row>
    <row r="229" ht="14.25" customHeight="1">
      <c r="A229" s="7" t="s">
        <v>255</v>
      </c>
      <c r="B229" s="8">
        <v>45703.0</v>
      </c>
      <c r="C229" s="7" t="s">
        <v>31</v>
      </c>
      <c r="D229" s="7" t="s">
        <v>21</v>
      </c>
      <c r="E229" s="9">
        <v>4805.32</v>
      </c>
      <c r="F229" s="9">
        <v>4090.61</v>
      </c>
      <c r="G229" s="9">
        <v>85109.0</v>
      </c>
      <c r="H229" s="9">
        <v>1336.0</v>
      </c>
      <c r="I229" s="9">
        <v>153.0</v>
      </c>
      <c r="J229" s="9">
        <v>6129.07</v>
      </c>
      <c r="K229" s="10">
        <f t="shared" si="1"/>
        <v>0.0156975173</v>
      </c>
      <c r="L229" s="10">
        <f t="shared" si="2"/>
        <v>3.061833832</v>
      </c>
      <c r="M229" s="10">
        <f t="shared" si="3"/>
        <v>26.73601307</v>
      </c>
      <c r="N229" s="10">
        <f t="shared" si="4"/>
        <v>1.498326655</v>
      </c>
      <c r="O229" s="10">
        <f t="shared" si="5"/>
        <v>2038.46</v>
      </c>
      <c r="P229" s="10">
        <f t="shared" si="6"/>
        <v>33.25887941</v>
      </c>
      <c r="Q229" s="10">
        <f t="shared" si="7"/>
        <v>2025</v>
      </c>
      <c r="R229" s="10">
        <f t="shared" si="8"/>
        <v>2</v>
      </c>
      <c r="S229" s="10" t="str">
        <f t="shared" si="9"/>
        <v>2025-02</v>
      </c>
    </row>
    <row r="230" ht="14.25" customHeight="1">
      <c r="A230" s="7" t="s">
        <v>256</v>
      </c>
      <c r="B230" s="8">
        <v>45645.0</v>
      </c>
      <c r="C230" s="7" t="s">
        <v>20</v>
      </c>
      <c r="D230" s="7" t="s">
        <v>21</v>
      </c>
      <c r="E230" s="9">
        <v>9505.63</v>
      </c>
      <c r="F230" s="9">
        <v>9192.22</v>
      </c>
      <c r="G230" s="9">
        <v>92367.0</v>
      </c>
      <c r="H230" s="9">
        <v>1602.0</v>
      </c>
      <c r="I230" s="9">
        <v>166.0</v>
      </c>
      <c r="J230" s="9">
        <v>6166.63</v>
      </c>
      <c r="K230" s="10">
        <f t="shared" si="1"/>
        <v>0.01734385657</v>
      </c>
      <c r="L230" s="10">
        <f t="shared" si="2"/>
        <v>5.737965044</v>
      </c>
      <c r="M230" s="10">
        <f t="shared" si="3"/>
        <v>55.37481928</v>
      </c>
      <c r="N230" s="10">
        <f t="shared" si="4"/>
        <v>0.670853178</v>
      </c>
      <c r="O230" s="10">
        <f t="shared" si="5"/>
        <v>-3025.59</v>
      </c>
      <c r="P230" s="10">
        <f t="shared" si="6"/>
        <v>-49.06391335</v>
      </c>
      <c r="Q230" s="10">
        <f t="shared" si="7"/>
        <v>2024</v>
      </c>
      <c r="R230" s="10">
        <f t="shared" si="8"/>
        <v>12</v>
      </c>
      <c r="S230" s="10" t="str">
        <f t="shared" si="9"/>
        <v>2024-12</v>
      </c>
    </row>
    <row r="231" ht="14.25" customHeight="1">
      <c r="A231" s="7" t="s">
        <v>257</v>
      </c>
      <c r="B231" s="8">
        <v>45792.0</v>
      </c>
      <c r="C231" s="7" t="s">
        <v>28</v>
      </c>
      <c r="D231" s="7" t="s">
        <v>24</v>
      </c>
      <c r="E231" s="9">
        <v>4959.85</v>
      </c>
      <c r="F231" s="9">
        <v>5112.85</v>
      </c>
      <c r="G231" s="9">
        <v>149385.0</v>
      </c>
      <c r="H231" s="9">
        <v>1524.0</v>
      </c>
      <c r="I231" s="9">
        <v>60.0</v>
      </c>
      <c r="J231" s="9">
        <v>1536.68</v>
      </c>
      <c r="K231" s="10">
        <f t="shared" si="1"/>
        <v>0.01020182749</v>
      </c>
      <c r="L231" s="10">
        <f t="shared" si="2"/>
        <v>3.354888451</v>
      </c>
      <c r="M231" s="10">
        <f t="shared" si="3"/>
        <v>85.21416667</v>
      </c>
      <c r="N231" s="10">
        <f t="shared" si="4"/>
        <v>0.3005525294</v>
      </c>
      <c r="O231" s="10">
        <f t="shared" si="5"/>
        <v>-3576.17</v>
      </c>
      <c r="P231" s="10">
        <f t="shared" si="6"/>
        <v>-232.7205404</v>
      </c>
      <c r="Q231" s="10">
        <f t="shared" si="7"/>
        <v>2025</v>
      </c>
      <c r="R231" s="10">
        <f t="shared" si="8"/>
        <v>5</v>
      </c>
      <c r="S231" s="10" t="str">
        <f t="shared" si="9"/>
        <v>2025-05</v>
      </c>
    </row>
    <row r="232" ht="14.25" customHeight="1">
      <c r="A232" s="7" t="s">
        <v>258</v>
      </c>
      <c r="B232" s="8">
        <v>45774.0</v>
      </c>
      <c r="C232" s="7" t="s">
        <v>28</v>
      </c>
      <c r="D232" s="7" t="s">
        <v>26</v>
      </c>
      <c r="E232" s="9">
        <v>5265.75</v>
      </c>
      <c r="F232" s="9">
        <v>4884.67</v>
      </c>
      <c r="G232" s="9">
        <v>134522.0</v>
      </c>
      <c r="H232" s="9">
        <v>2228.0</v>
      </c>
      <c r="I232" s="9">
        <v>403.0</v>
      </c>
      <c r="J232" s="9">
        <v>14197.01</v>
      </c>
      <c r="K232" s="10">
        <f t="shared" si="1"/>
        <v>0.01656234668</v>
      </c>
      <c r="L232" s="10">
        <f t="shared" si="2"/>
        <v>2.192401257</v>
      </c>
      <c r="M232" s="10">
        <f t="shared" si="3"/>
        <v>12.12076923</v>
      </c>
      <c r="N232" s="10">
        <f t="shared" si="4"/>
        <v>2.906441991</v>
      </c>
      <c r="O232" s="10">
        <f t="shared" si="5"/>
        <v>9312.34</v>
      </c>
      <c r="P232" s="10">
        <f t="shared" si="6"/>
        <v>65.59367078</v>
      </c>
      <c r="Q232" s="10">
        <f t="shared" si="7"/>
        <v>2025</v>
      </c>
      <c r="R232" s="10">
        <f t="shared" si="8"/>
        <v>4</v>
      </c>
      <c r="S232" s="10" t="str">
        <f t="shared" si="9"/>
        <v>2025-04</v>
      </c>
    </row>
    <row r="233" ht="14.25" customHeight="1">
      <c r="A233" s="7" t="s">
        <v>259</v>
      </c>
      <c r="B233" s="8">
        <v>45734.0</v>
      </c>
      <c r="C233" s="7" t="s">
        <v>20</v>
      </c>
      <c r="D233" s="7" t="s">
        <v>29</v>
      </c>
      <c r="E233" s="9">
        <v>4696.87</v>
      </c>
      <c r="F233" s="9">
        <v>3919.31</v>
      </c>
      <c r="G233" s="9">
        <v>178747.0</v>
      </c>
      <c r="H233" s="9">
        <v>7649.0</v>
      </c>
      <c r="I233" s="9">
        <v>235.0</v>
      </c>
      <c r="J233" s="9">
        <v>9004.87</v>
      </c>
      <c r="K233" s="10">
        <f t="shared" si="1"/>
        <v>0.04279232658</v>
      </c>
      <c r="L233" s="10">
        <f t="shared" si="2"/>
        <v>0.5123950843</v>
      </c>
      <c r="M233" s="10">
        <f t="shared" si="3"/>
        <v>16.67791489</v>
      </c>
      <c r="N233" s="10">
        <f t="shared" si="4"/>
        <v>2.297565133</v>
      </c>
      <c r="O233" s="10">
        <f t="shared" si="5"/>
        <v>5085.56</v>
      </c>
      <c r="P233" s="10">
        <f t="shared" si="6"/>
        <v>56.47566261</v>
      </c>
      <c r="Q233" s="10">
        <f t="shared" si="7"/>
        <v>2025</v>
      </c>
      <c r="R233" s="10">
        <f t="shared" si="8"/>
        <v>3</v>
      </c>
      <c r="S233" s="10" t="str">
        <f t="shared" si="9"/>
        <v>2025-03</v>
      </c>
    </row>
    <row r="234" ht="14.25" customHeight="1">
      <c r="A234" s="7" t="s">
        <v>260</v>
      </c>
      <c r="B234" s="8">
        <v>45796.0</v>
      </c>
      <c r="C234" s="7" t="s">
        <v>31</v>
      </c>
      <c r="D234" s="7" t="s">
        <v>24</v>
      </c>
      <c r="E234" s="9">
        <v>5020.41</v>
      </c>
      <c r="F234" s="9">
        <v>4891.74</v>
      </c>
      <c r="G234" s="9">
        <v>73811.0</v>
      </c>
      <c r="H234" s="9">
        <v>3452.0</v>
      </c>
      <c r="I234" s="9">
        <v>224.0</v>
      </c>
      <c r="J234" s="9">
        <v>5517.32</v>
      </c>
      <c r="K234" s="10">
        <f t="shared" si="1"/>
        <v>0.0467680969</v>
      </c>
      <c r="L234" s="10">
        <f t="shared" si="2"/>
        <v>1.41707416</v>
      </c>
      <c r="M234" s="10">
        <f t="shared" si="3"/>
        <v>21.838125</v>
      </c>
      <c r="N234" s="10">
        <f t="shared" si="4"/>
        <v>1.127884965</v>
      </c>
      <c r="O234" s="10">
        <f t="shared" si="5"/>
        <v>625.58</v>
      </c>
      <c r="P234" s="10">
        <f t="shared" si="6"/>
        <v>11.33847593</v>
      </c>
      <c r="Q234" s="10">
        <f t="shared" si="7"/>
        <v>2025</v>
      </c>
      <c r="R234" s="10">
        <f t="shared" si="8"/>
        <v>5</v>
      </c>
      <c r="S234" s="10" t="str">
        <f t="shared" si="9"/>
        <v>2025-05</v>
      </c>
    </row>
    <row r="235" ht="14.25" customHeight="1">
      <c r="A235" s="7" t="s">
        <v>261</v>
      </c>
      <c r="B235" s="8">
        <v>45771.0</v>
      </c>
      <c r="C235" s="7" t="s">
        <v>20</v>
      </c>
      <c r="D235" s="7" t="s">
        <v>29</v>
      </c>
      <c r="E235" s="9">
        <v>6367.98</v>
      </c>
      <c r="F235" s="9">
        <v>6111.84</v>
      </c>
      <c r="G235" s="9">
        <v>61124.0</v>
      </c>
      <c r="H235" s="9">
        <v>2912.0</v>
      </c>
      <c r="I235" s="9">
        <v>312.0</v>
      </c>
      <c r="J235" s="9">
        <v>6725.07</v>
      </c>
      <c r="K235" s="10">
        <f t="shared" si="1"/>
        <v>0.0476408612</v>
      </c>
      <c r="L235" s="10">
        <f t="shared" si="2"/>
        <v>2.098846154</v>
      </c>
      <c r="M235" s="10">
        <f t="shared" si="3"/>
        <v>19.58923077</v>
      </c>
      <c r="N235" s="10">
        <f t="shared" si="4"/>
        <v>1.10033476</v>
      </c>
      <c r="O235" s="10">
        <f t="shared" si="5"/>
        <v>613.23</v>
      </c>
      <c r="P235" s="10">
        <f t="shared" si="6"/>
        <v>9.118566796</v>
      </c>
      <c r="Q235" s="10">
        <f t="shared" si="7"/>
        <v>2025</v>
      </c>
      <c r="R235" s="10">
        <f t="shared" si="8"/>
        <v>4</v>
      </c>
      <c r="S235" s="10" t="str">
        <f t="shared" si="9"/>
        <v>2025-04</v>
      </c>
    </row>
    <row r="236" ht="14.25" customHeight="1">
      <c r="A236" s="7" t="s">
        <v>262</v>
      </c>
      <c r="B236" s="8">
        <v>45749.0</v>
      </c>
      <c r="C236" s="7" t="s">
        <v>33</v>
      </c>
      <c r="D236" s="7" t="s">
        <v>21</v>
      </c>
      <c r="E236" s="9">
        <v>5356.23</v>
      </c>
      <c r="F236" s="9">
        <v>4500.97</v>
      </c>
      <c r="G236" s="9">
        <v>65992.0</v>
      </c>
      <c r="H236" s="9">
        <v>3184.0</v>
      </c>
      <c r="I236" s="9">
        <v>311.0</v>
      </c>
      <c r="J236" s="9">
        <v>6811.29</v>
      </c>
      <c r="K236" s="10">
        <f t="shared" si="1"/>
        <v>0.04824827252</v>
      </c>
      <c r="L236" s="10">
        <f t="shared" si="2"/>
        <v>1.413621231</v>
      </c>
      <c r="M236" s="10">
        <f t="shared" si="3"/>
        <v>14.47257235</v>
      </c>
      <c r="N236" s="10">
        <f t="shared" si="4"/>
        <v>1.513293801</v>
      </c>
      <c r="O236" s="10">
        <f t="shared" si="5"/>
        <v>2310.32</v>
      </c>
      <c r="P236" s="10">
        <f t="shared" si="6"/>
        <v>33.91897864</v>
      </c>
      <c r="Q236" s="10">
        <f t="shared" si="7"/>
        <v>2025</v>
      </c>
      <c r="R236" s="10">
        <f t="shared" si="8"/>
        <v>4</v>
      </c>
      <c r="S236" s="10" t="str">
        <f t="shared" si="9"/>
        <v>2025-04</v>
      </c>
    </row>
    <row r="237" ht="14.25" customHeight="1">
      <c r="A237" s="7" t="s">
        <v>263</v>
      </c>
      <c r="B237" s="8">
        <v>45702.0</v>
      </c>
      <c r="C237" s="7" t="s">
        <v>28</v>
      </c>
      <c r="D237" s="7" t="s">
        <v>26</v>
      </c>
      <c r="E237" s="9">
        <v>9929.72</v>
      </c>
      <c r="F237" s="9">
        <v>8904.04</v>
      </c>
      <c r="G237" s="9">
        <v>80479.0</v>
      </c>
      <c r="H237" s="9">
        <v>3812.0</v>
      </c>
      <c r="I237" s="9">
        <v>427.0</v>
      </c>
      <c r="J237" s="9">
        <v>18914.49</v>
      </c>
      <c r="K237" s="10">
        <f t="shared" si="1"/>
        <v>0.04736639372</v>
      </c>
      <c r="L237" s="10">
        <f t="shared" si="2"/>
        <v>2.335792235</v>
      </c>
      <c r="M237" s="10">
        <f t="shared" si="3"/>
        <v>20.85255269</v>
      </c>
      <c r="N237" s="10">
        <f t="shared" si="4"/>
        <v>2.124259325</v>
      </c>
      <c r="O237" s="10">
        <f t="shared" si="5"/>
        <v>10010.45</v>
      </c>
      <c r="P237" s="10">
        <f t="shared" si="6"/>
        <v>52.92476826</v>
      </c>
      <c r="Q237" s="10">
        <f t="shared" si="7"/>
        <v>2025</v>
      </c>
      <c r="R237" s="10">
        <f t="shared" si="8"/>
        <v>2</v>
      </c>
      <c r="S237" s="10" t="str">
        <f t="shared" si="9"/>
        <v>2025-02</v>
      </c>
    </row>
    <row r="238" ht="14.25" customHeight="1">
      <c r="A238" s="7" t="s">
        <v>264</v>
      </c>
      <c r="B238" s="8">
        <v>45733.0</v>
      </c>
      <c r="C238" s="7" t="s">
        <v>33</v>
      </c>
      <c r="D238" s="7" t="s">
        <v>26</v>
      </c>
      <c r="E238" s="9">
        <v>4782.48</v>
      </c>
      <c r="F238" s="9">
        <v>4803.77</v>
      </c>
      <c r="G238" s="9">
        <v>65167.0</v>
      </c>
      <c r="H238" s="9">
        <v>3118.0</v>
      </c>
      <c r="I238" s="9">
        <v>343.0</v>
      </c>
      <c r="J238" s="9">
        <v>14682.74</v>
      </c>
      <c r="K238" s="10">
        <f t="shared" si="1"/>
        <v>0.04784630258</v>
      </c>
      <c r="L238" s="10">
        <f t="shared" si="2"/>
        <v>1.540657473</v>
      </c>
      <c r="M238" s="10">
        <f t="shared" si="3"/>
        <v>14.00516035</v>
      </c>
      <c r="N238" s="10">
        <f t="shared" si="4"/>
        <v>3.056503538</v>
      </c>
      <c r="O238" s="10">
        <f t="shared" si="5"/>
        <v>9878.97</v>
      </c>
      <c r="P238" s="10">
        <f t="shared" si="6"/>
        <v>67.28287772</v>
      </c>
      <c r="Q238" s="10">
        <f t="shared" si="7"/>
        <v>2025</v>
      </c>
      <c r="R238" s="10">
        <f t="shared" si="8"/>
        <v>3</v>
      </c>
      <c r="S238" s="10" t="str">
        <f t="shared" si="9"/>
        <v>2025-03</v>
      </c>
    </row>
    <row r="239" ht="14.25" customHeight="1">
      <c r="A239" s="7" t="s">
        <v>265</v>
      </c>
      <c r="B239" s="8">
        <v>45680.0</v>
      </c>
      <c r="C239" s="7" t="s">
        <v>28</v>
      </c>
      <c r="D239" s="7" t="s">
        <v>26</v>
      </c>
      <c r="E239" s="9">
        <v>7169.47</v>
      </c>
      <c r="F239" s="9">
        <v>6749.86</v>
      </c>
      <c r="G239" s="9">
        <v>109928.0</v>
      </c>
      <c r="H239" s="9">
        <v>2600.0</v>
      </c>
      <c r="I239" s="9">
        <v>192.0</v>
      </c>
      <c r="J239" s="9">
        <v>6212.2</v>
      </c>
      <c r="K239" s="10">
        <f t="shared" si="1"/>
        <v>0.02365184484</v>
      </c>
      <c r="L239" s="10">
        <f t="shared" si="2"/>
        <v>2.5961</v>
      </c>
      <c r="M239" s="10">
        <f t="shared" si="3"/>
        <v>35.15552083</v>
      </c>
      <c r="N239" s="10">
        <f t="shared" si="4"/>
        <v>0.9203450146</v>
      </c>
      <c r="O239" s="10">
        <f t="shared" si="5"/>
        <v>-537.66</v>
      </c>
      <c r="P239" s="10">
        <f t="shared" si="6"/>
        <v>-8.654904865</v>
      </c>
      <c r="Q239" s="10">
        <f t="shared" si="7"/>
        <v>2025</v>
      </c>
      <c r="R239" s="10">
        <f t="shared" si="8"/>
        <v>1</v>
      </c>
      <c r="S239" s="10" t="str">
        <f t="shared" si="9"/>
        <v>2025-01</v>
      </c>
    </row>
    <row r="240" ht="14.25" customHeight="1">
      <c r="A240" s="7" t="s">
        <v>266</v>
      </c>
      <c r="B240" s="8">
        <v>45730.0</v>
      </c>
      <c r="C240" s="7" t="s">
        <v>33</v>
      </c>
      <c r="D240" s="7" t="s">
        <v>24</v>
      </c>
      <c r="E240" s="9">
        <v>5442.08</v>
      </c>
      <c r="F240" s="9">
        <v>5871.24</v>
      </c>
      <c r="G240" s="9">
        <v>155287.0</v>
      </c>
      <c r="H240" s="9">
        <v>6156.0</v>
      </c>
      <c r="I240" s="9">
        <v>885.0</v>
      </c>
      <c r="J240" s="9">
        <v>39752.95</v>
      </c>
      <c r="K240" s="10">
        <f t="shared" si="1"/>
        <v>0.03964272605</v>
      </c>
      <c r="L240" s="10">
        <f t="shared" si="2"/>
        <v>0.9537426901</v>
      </c>
      <c r="M240" s="10">
        <f t="shared" si="3"/>
        <v>6.634169492</v>
      </c>
      <c r="N240" s="10">
        <f t="shared" si="4"/>
        <v>6.770792882</v>
      </c>
      <c r="O240" s="10">
        <f t="shared" si="5"/>
        <v>33881.71</v>
      </c>
      <c r="P240" s="10">
        <f t="shared" si="6"/>
        <v>85.23068099</v>
      </c>
      <c r="Q240" s="10">
        <f t="shared" si="7"/>
        <v>2025</v>
      </c>
      <c r="R240" s="10">
        <f t="shared" si="8"/>
        <v>3</v>
      </c>
      <c r="S240" s="10" t="str">
        <f t="shared" si="9"/>
        <v>2025-03</v>
      </c>
    </row>
    <row r="241" ht="14.25" customHeight="1">
      <c r="A241" s="7" t="s">
        <v>267</v>
      </c>
      <c r="B241" s="8">
        <v>45763.0</v>
      </c>
      <c r="C241" s="7" t="s">
        <v>33</v>
      </c>
      <c r="D241" s="7" t="s">
        <v>26</v>
      </c>
      <c r="E241" s="9">
        <v>9755.19</v>
      </c>
      <c r="F241" s="9">
        <v>8167.91</v>
      </c>
      <c r="G241" s="9">
        <v>78740.0</v>
      </c>
      <c r="H241" s="9">
        <v>2383.0</v>
      </c>
      <c r="I241" s="9">
        <v>340.0</v>
      </c>
      <c r="J241" s="9">
        <v>14254.85</v>
      </c>
      <c r="K241" s="10">
        <f t="shared" si="1"/>
        <v>0.03026416053</v>
      </c>
      <c r="L241" s="10">
        <f t="shared" si="2"/>
        <v>3.427574486</v>
      </c>
      <c r="M241" s="10">
        <f t="shared" si="3"/>
        <v>24.02326471</v>
      </c>
      <c r="N241" s="10">
        <f t="shared" si="4"/>
        <v>1.745226135</v>
      </c>
      <c r="O241" s="10">
        <f t="shared" si="5"/>
        <v>6086.94</v>
      </c>
      <c r="P241" s="10">
        <f t="shared" si="6"/>
        <v>42.70083515</v>
      </c>
      <c r="Q241" s="10">
        <f t="shared" si="7"/>
        <v>2025</v>
      </c>
      <c r="R241" s="10">
        <f t="shared" si="8"/>
        <v>4</v>
      </c>
      <c r="S241" s="10" t="str">
        <f t="shared" si="9"/>
        <v>2025-04</v>
      </c>
    </row>
    <row r="242" ht="14.25" customHeight="1">
      <c r="A242" s="7" t="s">
        <v>268</v>
      </c>
      <c r="B242" s="8">
        <v>45677.0</v>
      </c>
      <c r="C242" s="7" t="s">
        <v>33</v>
      </c>
      <c r="D242" s="7" t="s">
        <v>29</v>
      </c>
      <c r="E242" s="9">
        <v>9568.38</v>
      </c>
      <c r="F242" s="9">
        <v>8174.94</v>
      </c>
      <c r="G242" s="9">
        <v>158786.0</v>
      </c>
      <c r="H242" s="9">
        <v>2402.0</v>
      </c>
      <c r="I242" s="9">
        <v>240.0</v>
      </c>
      <c r="J242" s="9">
        <v>5278.77</v>
      </c>
      <c r="K242" s="10">
        <f t="shared" si="1"/>
        <v>0.01512727822</v>
      </c>
      <c r="L242" s="10">
        <f t="shared" si="2"/>
        <v>3.403388843</v>
      </c>
      <c r="M242" s="10">
        <f t="shared" si="3"/>
        <v>34.06225</v>
      </c>
      <c r="N242" s="10">
        <f t="shared" si="4"/>
        <v>0.6457258402</v>
      </c>
      <c r="O242" s="10">
        <f t="shared" si="5"/>
        <v>-2896.17</v>
      </c>
      <c r="P242" s="10">
        <f t="shared" si="6"/>
        <v>-54.86448548</v>
      </c>
      <c r="Q242" s="10">
        <f t="shared" si="7"/>
        <v>2025</v>
      </c>
      <c r="R242" s="10">
        <f t="shared" si="8"/>
        <v>1</v>
      </c>
      <c r="S242" s="10" t="str">
        <f t="shared" si="9"/>
        <v>2025-01</v>
      </c>
    </row>
    <row r="243" ht="14.25" customHeight="1">
      <c r="A243" s="7" t="s">
        <v>269</v>
      </c>
      <c r="B243" s="8">
        <v>45799.0</v>
      </c>
      <c r="C243" s="7" t="s">
        <v>28</v>
      </c>
      <c r="D243" s="7" t="s">
        <v>24</v>
      </c>
      <c r="E243" s="9">
        <v>8187.84</v>
      </c>
      <c r="F243" s="9">
        <v>7961.38</v>
      </c>
      <c r="G243" s="9">
        <v>158182.0</v>
      </c>
      <c r="H243" s="9">
        <v>3562.0</v>
      </c>
      <c r="I243" s="9">
        <v>554.0</v>
      </c>
      <c r="J243" s="9">
        <v>25071.19</v>
      </c>
      <c r="K243" s="10">
        <f t="shared" si="1"/>
        <v>0.02251836492</v>
      </c>
      <c r="L243" s="10">
        <f t="shared" si="2"/>
        <v>2.23508703</v>
      </c>
      <c r="M243" s="10">
        <f t="shared" si="3"/>
        <v>14.37072202</v>
      </c>
      <c r="N243" s="10">
        <f t="shared" si="4"/>
        <v>3.149101035</v>
      </c>
      <c r="O243" s="10">
        <f t="shared" si="5"/>
        <v>17109.81</v>
      </c>
      <c r="P243" s="10">
        <f t="shared" si="6"/>
        <v>68.24490581</v>
      </c>
      <c r="Q243" s="10">
        <f t="shared" si="7"/>
        <v>2025</v>
      </c>
      <c r="R243" s="10">
        <f t="shared" si="8"/>
        <v>5</v>
      </c>
      <c r="S243" s="10" t="str">
        <f t="shared" si="9"/>
        <v>2025-05</v>
      </c>
    </row>
    <row r="244" ht="14.25" customHeight="1">
      <c r="A244" s="7" t="s">
        <v>270</v>
      </c>
      <c r="B244" s="8">
        <v>45691.0</v>
      </c>
      <c r="C244" s="7" t="s">
        <v>31</v>
      </c>
      <c r="D244" s="7" t="s">
        <v>24</v>
      </c>
      <c r="E244" s="9">
        <v>3978.41</v>
      </c>
      <c r="F244" s="9">
        <v>4131.9</v>
      </c>
      <c r="G244" s="9">
        <v>70430.0</v>
      </c>
      <c r="H244" s="9">
        <v>2036.0</v>
      </c>
      <c r="I244" s="9">
        <v>76.0</v>
      </c>
      <c r="J244" s="9">
        <v>1979.71</v>
      </c>
      <c r="K244" s="10">
        <f t="shared" si="1"/>
        <v>0.02890813574</v>
      </c>
      <c r="L244" s="10">
        <f t="shared" si="2"/>
        <v>2.029420432</v>
      </c>
      <c r="M244" s="10">
        <f t="shared" si="3"/>
        <v>54.36710526</v>
      </c>
      <c r="N244" s="10">
        <f t="shared" si="4"/>
        <v>0.4791282461</v>
      </c>
      <c r="O244" s="10">
        <f t="shared" si="5"/>
        <v>-2152.19</v>
      </c>
      <c r="P244" s="10">
        <f t="shared" si="6"/>
        <v>-108.7123872</v>
      </c>
      <c r="Q244" s="10">
        <f t="shared" si="7"/>
        <v>2025</v>
      </c>
      <c r="R244" s="10">
        <f t="shared" si="8"/>
        <v>2</v>
      </c>
      <c r="S244" s="10" t="str">
        <f t="shared" si="9"/>
        <v>2025-02</v>
      </c>
    </row>
    <row r="245" ht="14.25" customHeight="1">
      <c r="A245" s="7" t="s">
        <v>271</v>
      </c>
      <c r="B245" s="8">
        <v>45739.0</v>
      </c>
      <c r="C245" s="7" t="s">
        <v>23</v>
      </c>
      <c r="D245" s="7" t="s">
        <v>24</v>
      </c>
      <c r="E245" s="9">
        <v>4145.59</v>
      </c>
      <c r="F245" s="9">
        <v>3520.77</v>
      </c>
      <c r="G245" s="9">
        <v>53472.0</v>
      </c>
      <c r="H245" s="9">
        <v>1779.0</v>
      </c>
      <c r="I245" s="9">
        <v>127.0</v>
      </c>
      <c r="J245" s="9">
        <v>5643.53</v>
      </c>
      <c r="K245" s="10">
        <f t="shared" si="1"/>
        <v>0.03326974865</v>
      </c>
      <c r="L245" s="10">
        <f t="shared" si="2"/>
        <v>1.979072513</v>
      </c>
      <c r="M245" s="10">
        <f t="shared" si="3"/>
        <v>27.72259843</v>
      </c>
      <c r="N245" s="10">
        <f t="shared" si="4"/>
        <v>1.602924928</v>
      </c>
      <c r="O245" s="10">
        <f t="shared" si="5"/>
        <v>2122.76</v>
      </c>
      <c r="P245" s="10">
        <f t="shared" si="6"/>
        <v>37.61404653</v>
      </c>
      <c r="Q245" s="10">
        <f t="shared" si="7"/>
        <v>2025</v>
      </c>
      <c r="R245" s="10">
        <f t="shared" si="8"/>
        <v>3</v>
      </c>
      <c r="S245" s="10" t="str">
        <f t="shared" si="9"/>
        <v>2025-03</v>
      </c>
    </row>
    <row r="246" ht="14.25" customHeight="1">
      <c r="A246" s="7" t="s">
        <v>272</v>
      </c>
      <c r="B246" s="8">
        <v>45769.0</v>
      </c>
      <c r="C246" s="7" t="s">
        <v>20</v>
      </c>
      <c r="D246" s="7" t="s">
        <v>26</v>
      </c>
      <c r="E246" s="9">
        <v>7656.38</v>
      </c>
      <c r="F246" s="9">
        <v>7326.54</v>
      </c>
      <c r="G246" s="9">
        <v>65231.0</v>
      </c>
      <c r="H246" s="9">
        <v>2231.0</v>
      </c>
      <c r="I246" s="9">
        <v>352.0</v>
      </c>
      <c r="J246" s="9">
        <v>10829.25</v>
      </c>
      <c r="K246" s="10">
        <f t="shared" si="1"/>
        <v>0.03420152995</v>
      </c>
      <c r="L246" s="10">
        <f t="shared" si="2"/>
        <v>3.283971313</v>
      </c>
      <c r="M246" s="10">
        <f t="shared" si="3"/>
        <v>20.81403409</v>
      </c>
      <c r="N246" s="10">
        <f t="shared" si="4"/>
        <v>1.478085153</v>
      </c>
      <c r="O246" s="10">
        <f t="shared" si="5"/>
        <v>3502.71</v>
      </c>
      <c r="P246" s="10">
        <f t="shared" si="6"/>
        <v>32.34489923</v>
      </c>
      <c r="Q246" s="10">
        <f t="shared" si="7"/>
        <v>2025</v>
      </c>
      <c r="R246" s="10">
        <f t="shared" si="8"/>
        <v>4</v>
      </c>
      <c r="S246" s="10" t="str">
        <f t="shared" si="9"/>
        <v>2025-04</v>
      </c>
    </row>
    <row r="247" ht="14.25" customHeight="1">
      <c r="A247" s="7" t="s">
        <v>273</v>
      </c>
      <c r="B247" s="8">
        <v>45701.0</v>
      </c>
      <c r="C247" s="7" t="s">
        <v>20</v>
      </c>
      <c r="D247" s="7" t="s">
        <v>29</v>
      </c>
      <c r="E247" s="9">
        <v>9140.4</v>
      </c>
      <c r="F247" s="9">
        <v>8388.45</v>
      </c>
      <c r="G247" s="9">
        <v>136646.0</v>
      </c>
      <c r="H247" s="9">
        <v>2540.0</v>
      </c>
      <c r="I247" s="9">
        <v>494.0</v>
      </c>
      <c r="J247" s="9">
        <v>21982.0</v>
      </c>
      <c r="K247" s="10">
        <f t="shared" si="1"/>
        <v>0.01858817675</v>
      </c>
      <c r="L247" s="10">
        <f t="shared" si="2"/>
        <v>3.30253937</v>
      </c>
      <c r="M247" s="10">
        <f t="shared" si="3"/>
        <v>16.98066802</v>
      </c>
      <c r="N247" s="10">
        <f t="shared" si="4"/>
        <v>2.62050796</v>
      </c>
      <c r="O247" s="10">
        <f t="shared" si="5"/>
        <v>13593.55</v>
      </c>
      <c r="P247" s="10">
        <f t="shared" si="6"/>
        <v>61.83945956</v>
      </c>
      <c r="Q247" s="10">
        <f t="shared" si="7"/>
        <v>2025</v>
      </c>
      <c r="R247" s="10">
        <f t="shared" si="8"/>
        <v>2</v>
      </c>
      <c r="S247" s="10" t="str">
        <f t="shared" si="9"/>
        <v>2025-02</v>
      </c>
    </row>
    <row r="248" ht="14.25" customHeight="1">
      <c r="A248" s="7" t="s">
        <v>274</v>
      </c>
      <c r="B248" s="8">
        <v>45652.0</v>
      </c>
      <c r="C248" s="7" t="s">
        <v>23</v>
      </c>
      <c r="D248" s="7" t="s">
        <v>21</v>
      </c>
      <c r="E248" s="9">
        <v>6073.94</v>
      </c>
      <c r="F248" s="9">
        <v>5546.01</v>
      </c>
      <c r="G248" s="9">
        <v>106358.0</v>
      </c>
      <c r="H248" s="9">
        <v>1150.0</v>
      </c>
      <c r="I248" s="9">
        <v>118.0</v>
      </c>
      <c r="J248" s="9">
        <v>3997.89</v>
      </c>
      <c r="K248" s="10">
        <f t="shared" si="1"/>
        <v>0.01081253878</v>
      </c>
      <c r="L248" s="10">
        <f t="shared" si="2"/>
        <v>4.822617391</v>
      </c>
      <c r="M248" s="10">
        <f t="shared" si="3"/>
        <v>47.00008475</v>
      </c>
      <c r="N248" s="10">
        <f t="shared" si="4"/>
        <v>0.7208587796</v>
      </c>
      <c r="O248" s="10">
        <f t="shared" si="5"/>
        <v>-1548.12</v>
      </c>
      <c r="P248" s="10">
        <f t="shared" si="6"/>
        <v>-38.72342661</v>
      </c>
      <c r="Q248" s="10">
        <f t="shared" si="7"/>
        <v>2024</v>
      </c>
      <c r="R248" s="10">
        <f t="shared" si="8"/>
        <v>12</v>
      </c>
      <c r="S248" s="10" t="str">
        <f t="shared" si="9"/>
        <v>2024-12</v>
      </c>
    </row>
    <row r="249" ht="14.25" customHeight="1">
      <c r="A249" s="7" t="s">
        <v>275</v>
      </c>
      <c r="B249" s="8">
        <v>45733.0</v>
      </c>
      <c r="C249" s="7" t="s">
        <v>20</v>
      </c>
      <c r="D249" s="7" t="s">
        <v>24</v>
      </c>
      <c r="E249" s="9">
        <v>5109.65</v>
      </c>
      <c r="F249" s="9">
        <v>5233.73</v>
      </c>
      <c r="G249" s="9">
        <v>179651.0</v>
      </c>
      <c r="H249" s="9">
        <v>4479.0</v>
      </c>
      <c r="I249" s="9">
        <v>887.0</v>
      </c>
      <c r="J249" s="9">
        <v>31117.39</v>
      </c>
      <c r="K249" s="10">
        <f t="shared" si="1"/>
        <v>0.02493167308</v>
      </c>
      <c r="L249" s="10">
        <f t="shared" si="2"/>
        <v>1.16850413</v>
      </c>
      <c r="M249" s="10">
        <f t="shared" si="3"/>
        <v>5.90048478</v>
      </c>
      <c r="N249" s="10">
        <f t="shared" si="4"/>
        <v>5.945547439</v>
      </c>
      <c r="O249" s="10">
        <f t="shared" si="5"/>
        <v>25883.66</v>
      </c>
      <c r="P249" s="10">
        <f t="shared" si="6"/>
        <v>83.18069093</v>
      </c>
      <c r="Q249" s="10">
        <f t="shared" si="7"/>
        <v>2025</v>
      </c>
      <c r="R249" s="10">
        <f t="shared" si="8"/>
        <v>3</v>
      </c>
      <c r="S249" s="10" t="str">
        <f t="shared" si="9"/>
        <v>2025-03</v>
      </c>
    </row>
    <row r="250" ht="14.25" customHeight="1">
      <c r="A250" s="7" t="s">
        <v>276</v>
      </c>
      <c r="B250" s="8">
        <v>45773.0</v>
      </c>
      <c r="C250" s="7" t="s">
        <v>23</v>
      </c>
      <c r="D250" s="7" t="s">
        <v>29</v>
      </c>
      <c r="E250" s="9">
        <v>4625.49</v>
      </c>
      <c r="F250" s="9">
        <v>4948.68</v>
      </c>
      <c r="G250" s="9">
        <v>87263.0</v>
      </c>
      <c r="H250" s="9">
        <v>3752.0</v>
      </c>
      <c r="I250" s="9">
        <v>526.0</v>
      </c>
      <c r="J250" s="9">
        <v>16577.8</v>
      </c>
      <c r="K250" s="10">
        <f t="shared" si="1"/>
        <v>0.04299645898</v>
      </c>
      <c r="L250" s="10">
        <f t="shared" si="2"/>
        <v>1.318944563</v>
      </c>
      <c r="M250" s="10">
        <f t="shared" si="3"/>
        <v>9.408136882</v>
      </c>
      <c r="N250" s="10">
        <f t="shared" si="4"/>
        <v>3.349943823</v>
      </c>
      <c r="O250" s="10">
        <f t="shared" si="5"/>
        <v>11629.12</v>
      </c>
      <c r="P250" s="10">
        <f t="shared" si="6"/>
        <v>70.14875315</v>
      </c>
      <c r="Q250" s="10">
        <f t="shared" si="7"/>
        <v>2025</v>
      </c>
      <c r="R250" s="10">
        <f t="shared" si="8"/>
        <v>4</v>
      </c>
      <c r="S250" s="10" t="str">
        <f t="shared" si="9"/>
        <v>2025-04</v>
      </c>
    </row>
    <row r="251" ht="14.25" customHeight="1">
      <c r="A251" s="7" t="s">
        <v>277</v>
      </c>
      <c r="B251" s="8">
        <v>45640.0</v>
      </c>
      <c r="C251" s="7" t="s">
        <v>20</v>
      </c>
      <c r="D251" s="7" t="s">
        <v>24</v>
      </c>
      <c r="E251" s="9">
        <v>6804.87</v>
      </c>
      <c r="F251" s="9">
        <v>7294.42</v>
      </c>
      <c r="G251" s="9">
        <v>142706.0</v>
      </c>
      <c r="H251" s="9">
        <v>4101.0</v>
      </c>
      <c r="I251" s="9">
        <v>124.0</v>
      </c>
      <c r="J251" s="9">
        <v>4802.17</v>
      </c>
      <c r="K251" s="10">
        <f t="shared" si="1"/>
        <v>0.02873740417</v>
      </c>
      <c r="L251" s="10">
        <f t="shared" si="2"/>
        <v>1.778693002</v>
      </c>
      <c r="M251" s="10">
        <f t="shared" si="3"/>
        <v>58.82596774</v>
      </c>
      <c r="N251" s="10">
        <f t="shared" si="4"/>
        <v>0.6583347271</v>
      </c>
      <c r="O251" s="10">
        <f t="shared" si="5"/>
        <v>-2492.25</v>
      </c>
      <c r="P251" s="10">
        <f t="shared" si="6"/>
        <v>-51.89841259</v>
      </c>
      <c r="Q251" s="10">
        <f t="shared" si="7"/>
        <v>2024</v>
      </c>
      <c r="R251" s="10">
        <f t="shared" si="8"/>
        <v>12</v>
      </c>
      <c r="S251" s="10" t="str">
        <f t="shared" si="9"/>
        <v>2024-12</v>
      </c>
    </row>
    <row r="252" ht="14.25" customHeight="1">
      <c r="A252" s="7" t="s">
        <v>278</v>
      </c>
      <c r="B252" s="8">
        <v>45712.0</v>
      </c>
      <c r="C252" s="7" t="s">
        <v>20</v>
      </c>
      <c r="D252" s="7" t="s">
        <v>21</v>
      </c>
      <c r="E252" s="9">
        <v>3818.29</v>
      </c>
      <c r="F252" s="9">
        <v>4131.2</v>
      </c>
      <c r="G252" s="9">
        <v>197165.0</v>
      </c>
      <c r="H252" s="9">
        <v>8105.0</v>
      </c>
      <c r="I252" s="9">
        <v>869.0</v>
      </c>
      <c r="J252" s="9">
        <v>33744.35</v>
      </c>
      <c r="K252" s="10">
        <f t="shared" si="1"/>
        <v>0.04110770167</v>
      </c>
      <c r="L252" s="10">
        <f t="shared" si="2"/>
        <v>0.5097100555</v>
      </c>
      <c r="M252" s="10">
        <f t="shared" si="3"/>
        <v>4.753970081</v>
      </c>
      <c r="N252" s="10">
        <f t="shared" si="4"/>
        <v>8.168171476</v>
      </c>
      <c r="O252" s="10">
        <f t="shared" si="5"/>
        <v>29613.15</v>
      </c>
      <c r="P252" s="10">
        <f t="shared" si="6"/>
        <v>87.7573579</v>
      </c>
      <c r="Q252" s="10">
        <f t="shared" si="7"/>
        <v>2025</v>
      </c>
      <c r="R252" s="10">
        <f t="shared" si="8"/>
        <v>2</v>
      </c>
      <c r="S252" s="10" t="str">
        <f t="shared" si="9"/>
        <v>2025-02</v>
      </c>
    </row>
    <row r="253" ht="14.25" customHeight="1">
      <c r="A253" s="7" t="s">
        <v>279</v>
      </c>
      <c r="B253" s="8">
        <v>45692.0</v>
      </c>
      <c r="C253" s="7" t="s">
        <v>28</v>
      </c>
      <c r="D253" s="7" t="s">
        <v>26</v>
      </c>
      <c r="E253" s="9">
        <v>5344.34</v>
      </c>
      <c r="F253" s="9">
        <v>4498.77</v>
      </c>
      <c r="G253" s="9">
        <v>141042.0</v>
      </c>
      <c r="H253" s="9">
        <v>2816.0</v>
      </c>
      <c r="I253" s="9">
        <v>230.0</v>
      </c>
      <c r="J253" s="9">
        <v>10078.77</v>
      </c>
      <c r="K253" s="10">
        <f t="shared" si="1"/>
        <v>0.01996568398</v>
      </c>
      <c r="L253" s="10">
        <f t="shared" si="2"/>
        <v>1.597574574</v>
      </c>
      <c r="M253" s="10">
        <f t="shared" si="3"/>
        <v>19.55986957</v>
      </c>
      <c r="N253" s="10">
        <f t="shared" si="4"/>
        <v>2.240339026</v>
      </c>
      <c r="O253" s="10">
        <f t="shared" si="5"/>
        <v>5580</v>
      </c>
      <c r="P253" s="10">
        <f t="shared" si="6"/>
        <v>55.36389857</v>
      </c>
      <c r="Q253" s="10">
        <f t="shared" si="7"/>
        <v>2025</v>
      </c>
      <c r="R253" s="10">
        <f t="shared" si="8"/>
        <v>2</v>
      </c>
      <c r="S253" s="10" t="str">
        <f t="shared" si="9"/>
        <v>2025-02</v>
      </c>
    </row>
    <row r="254" ht="14.25" customHeight="1">
      <c r="A254" s="7" t="s">
        <v>280</v>
      </c>
      <c r="B254" s="8">
        <v>45651.0</v>
      </c>
      <c r="C254" s="7" t="s">
        <v>20</v>
      </c>
      <c r="D254" s="7" t="s">
        <v>24</v>
      </c>
      <c r="E254" s="9">
        <v>7340.51</v>
      </c>
      <c r="F254" s="9">
        <v>7047.17</v>
      </c>
      <c r="G254" s="9">
        <v>103661.0</v>
      </c>
      <c r="H254" s="9">
        <v>3336.0</v>
      </c>
      <c r="I254" s="9">
        <v>394.0</v>
      </c>
      <c r="J254" s="9">
        <v>18445.81</v>
      </c>
      <c r="K254" s="10">
        <f t="shared" si="1"/>
        <v>0.03218182344</v>
      </c>
      <c r="L254" s="10">
        <f t="shared" si="2"/>
        <v>2.112461031</v>
      </c>
      <c r="M254" s="10">
        <f t="shared" si="3"/>
        <v>17.88621827</v>
      </c>
      <c r="N254" s="10">
        <f t="shared" si="4"/>
        <v>2.617477654</v>
      </c>
      <c r="O254" s="10">
        <f t="shared" si="5"/>
        <v>11398.64</v>
      </c>
      <c r="P254" s="10">
        <f t="shared" si="6"/>
        <v>61.79528034</v>
      </c>
      <c r="Q254" s="10">
        <f t="shared" si="7"/>
        <v>2024</v>
      </c>
      <c r="R254" s="10">
        <f t="shared" si="8"/>
        <v>12</v>
      </c>
      <c r="S254" s="10" t="str">
        <f t="shared" si="9"/>
        <v>2024-12</v>
      </c>
    </row>
    <row r="255" ht="14.25" customHeight="1">
      <c r="A255" s="7" t="s">
        <v>281</v>
      </c>
      <c r="B255" s="8">
        <v>45710.0</v>
      </c>
      <c r="C255" s="7" t="s">
        <v>28</v>
      </c>
      <c r="D255" s="7" t="s">
        <v>26</v>
      </c>
      <c r="E255" s="9">
        <v>8520.18</v>
      </c>
      <c r="F255" s="9">
        <v>7203.83</v>
      </c>
      <c r="G255" s="9">
        <v>71137.0</v>
      </c>
      <c r="H255" s="9">
        <v>2638.0</v>
      </c>
      <c r="I255" s="9">
        <v>60.0</v>
      </c>
      <c r="J255" s="9">
        <v>1761.1</v>
      </c>
      <c r="K255" s="10">
        <f t="shared" si="1"/>
        <v>0.03708337433</v>
      </c>
      <c r="L255" s="10">
        <f t="shared" si="2"/>
        <v>2.730792267</v>
      </c>
      <c r="M255" s="10">
        <f t="shared" si="3"/>
        <v>120.0638333</v>
      </c>
      <c r="N255" s="10">
        <f t="shared" si="4"/>
        <v>0.2444671793</v>
      </c>
      <c r="O255" s="10">
        <f t="shared" si="5"/>
        <v>-5442.73</v>
      </c>
      <c r="P255" s="10">
        <f t="shared" si="6"/>
        <v>-309.0528647</v>
      </c>
      <c r="Q255" s="10">
        <f t="shared" si="7"/>
        <v>2025</v>
      </c>
      <c r="R255" s="10">
        <f t="shared" si="8"/>
        <v>2</v>
      </c>
      <c r="S255" s="10" t="str">
        <f t="shared" si="9"/>
        <v>2025-02</v>
      </c>
    </row>
    <row r="256" ht="14.25" customHeight="1">
      <c r="A256" s="7" t="s">
        <v>282</v>
      </c>
      <c r="B256" s="8">
        <v>45734.0</v>
      </c>
      <c r="C256" s="7" t="s">
        <v>31</v>
      </c>
      <c r="D256" s="7" t="s">
        <v>29</v>
      </c>
      <c r="E256" s="9">
        <v>4739.42</v>
      </c>
      <c r="F256" s="9">
        <v>4849.3</v>
      </c>
      <c r="G256" s="9">
        <v>109146.0</v>
      </c>
      <c r="H256" s="9">
        <v>3124.0</v>
      </c>
      <c r="I256" s="9">
        <v>400.0</v>
      </c>
      <c r="J256" s="9">
        <v>8402.39</v>
      </c>
      <c r="K256" s="10">
        <f t="shared" si="1"/>
        <v>0.02862221245</v>
      </c>
      <c r="L256" s="10">
        <f t="shared" si="2"/>
        <v>1.552272727</v>
      </c>
      <c r="M256" s="10">
        <f t="shared" si="3"/>
        <v>12.12325</v>
      </c>
      <c r="N256" s="10">
        <f t="shared" si="4"/>
        <v>1.732701627</v>
      </c>
      <c r="O256" s="10">
        <f t="shared" si="5"/>
        <v>3553.09</v>
      </c>
      <c r="P256" s="10">
        <f t="shared" si="6"/>
        <v>42.28665891</v>
      </c>
      <c r="Q256" s="10">
        <f t="shared" si="7"/>
        <v>2025</v>
      </c>
      <c r="R256" s="10">
        <f t="shared" si="8"/>
        <v>3</v>
      </c>
      <c r="S256" s="10" t="str">
        <f t="shared" si="9"/>
        <v>2025-03</v>
      </c>
    </row>
    <row r="257" ht="14.25" customHeight="1">
      <c r="A257" s="7" t="s">
        <v>283</v>
      </c>
      <c r="B257" s="8">
        <v>45637.0</v>
      </c>
      <c r="C257" s="7" t="s">
        <v>33</v>
      </c>
      <c r="D257" s="7" t="s">
        <v>24</v>
      </c>
      <c r="E257" s="9">
        <v>6989.23</v>
      </c>
      <c r="F257" s="9">
        <v>7190.08</v>
      </c>
      <c r="G257" s="9">
        <v>119284.0</v>
      </c>
      <c r="H257" s="9">
        <v>1389.0</v>
      </c>
      <c r="I257" s="9">
        <v>211.0</v>
      </c>
      <c r="J257" s="9">
        <v>9769.93</v>
      </c>
      <c r="K257" s="10">
        <f t="shared" si="1"/>
        <v>0.01164447872</v>
      </c>
      <c r="L257" s="10">
        <f t="shared" si="2"/>
        <v>5.176443485</v>
      </c>
      <c r="M257" s="10">
        <f t="shared" si="3"/>
        <v>34.07620853</v>
      </c>
      <c r="N257" s="10">
        <f t="shared" si="4"/>
        <v>1.358806856</v>
      </c>
      <c r="O257" s="10">
        <f t="shared" si="5"/>
        <v>2579.85</v>
      </c>
      <c r="P257" s="10">
        <f t="shared" si="6"/>
        <v>26.40602338</v>
      </c>
      <c r="Q257" s="10">
        <f t="shared" si="7"/>
        <v>2024</v>
      </c>
      <c r="R257" s="10">
        <f t="shared" si="8"/>
        <v>12</v>
      </c>
      <c r="S257" s="10" t="str">
        <f t="shared" si="9"/>
        <v>2024-12</v>
      </c>
    </row>
    <row r="258" ht="14.25" customHeight="1">
      <c r="A258" s="7" t="s">
        <v>284</v>
      </c>
      <c r="B258" s="8">
        <v>45695.0</v>
      </c>
      <c r="C258" s="7" t="s">
        <v>33</v>
      </c>
      <c r="D258" s="7" t="s">
        <v>24</v>
      </c>
      <c r="E258" s="9">
        <v>5394.57</v>
      </c>
      <c r="F258" s="9">
        <v>5644.76</v>
      </c>
      <c r="G258" s="9">
        <v>192983.0</v>
      </c>
      <c r="H258" s="9">
        <v>4396.0</v>
      </c>
      <c r="I258" s="9">
        <v>677.0</v>
      </c>
      <c r="J258" s="9">
        <v>15786.93</v>
      </c>
      <c r="K258" s="10">
        <f t="shared" si="1"/>
        <v>0.02277920853</v>
      </c>
      <c r="L258" s="10">
        <f t="shared" si="2"/>
        <v>1.284067334</v>
      </c>
      <c r="M258" s="10">
        <f t="shared" si="3"/>
        <v>8.337902511</v>
      </c>
      <c r="N258" s="10">
        <f t="shared" si="4"/>
        <v>2.796740694</v>
      </c>
      <c r="O258" s="10">
        <f t="shared" si="5"/>
        <v>10142.17</v>
      </c>
      <c r="P258" s="10">
        <f t="shared" si="6"/>
        <v>64.24409306</v>
      </c>
      <c r="Q258" s="10">
        <f t="shared" si="7"/>
        <v>2025</v>
      </c>
      <c r="R258" s="10">
        <f t="shared" si="8"/>
        <v>2</v>
      </c>
      <c r="S258" s="10" t="str">
        <f t="shared" si="9"/>
        <v>2025-02</v>
      </c>
    </row>
    <row r="259" ht="14.25" customHeight="1">
      <c r="A259" s="7" t="s">
        <v>285</v>
      </c>
      <c r="B259" s="8">
        <v>45769.0</v>
      </c>
      <c r="C259" s="7" t="s">
        <v>28</v>
      </c>
      <c r="D259" s="7" t="s">
        <v>26</v>
      </c>
      <c r="E259" s="9">
        <v>8925.17</v>
      </c>
      <c r="F259" s="9">
        <v>7481.49</v>
      </c>
      <c r="G259" s="9">
        <v>121420.0</v>
      </c>
      <c r="H259" s="9">
        <v>2619.0</v>
      </c>
      <c r="I259" s="9">
        <v>104.0</v>
      </c>
      <c r="J259" s="9">
        <v>3319.54</v>
      </c>
      <c r="K259" s="10">
        <f t="shared" si="1"/>
        <v>0.02156975787</v>
      </c>
      <c r="L259" s="10">
        <f t="shared" si="2"/>
        <v>2.856620848</v>
      </c>
      <c r="M259" s="10">
        <f t="shared" si="3"/>
        <v>71.93740385</v>
      </c>
      <c r="N259" s="10">
        <f t="shared" si="4"/>
        <v>0.4437003859</v>
      </c>
      <c r="O259" s="10">
        <f t="shared" si="5"/>
        <v>-4161.95</v>
      </c>
      <c r="P259" s="10">
        <f t="shared" si="6"/>
        <v>-125.3773113</v>
      </c>
      <c r="Q259" s="10">
        <f t="shared" si="7"/>
        <v>2025</v>
      </c>
      <c r="R259" s="10">
        <f t="shared" si="8"/>
        <v>4</v>
      </c>
      <c r="S259" s="10" t="str">
        <f t="shared" si="9"/>
        <v>2025-04</v>
      </c>
    </row>
    <row r="260" ht="14.25" customHeight="1">
      <c r="A260" s="7" t="s">
        <v>286</v>
      </c>
      <c r="B260" s="8">
        <v>45774.0</v>
      </c>
      <c r="C260" s="7" t="s">
        <v>28</v>
      </c>
      <c r="D260" s="7" t="s">
        <v>26</v>
      </c>
      <c r="E260" s="9">
        <v>8581.07</v>
      </c>
      <c r="F260" s="9">
        <v>7250.79</v>
      </c>
      <c r="G260" s="9">
        <v>157129.0</v>
      </c>
      <c r="H260" s="9">
        <v>6144.0</v>
      </c>
      <c r="I260" s="9">
        <v>426.0</v>
      </c>
      <c r="J260" s="9">
        <v>11449.83</v>
      </c>
      <c r="K260" s="10">
        <f t="shared" si="1"/>
        <v>0.03910162987</v>
      </c>
      <c r="L260" s="10">
        <f t="shared" si="2"/>
        <v>1.180141602</v>
      </c>
      <c r="M260" s="10">
        <f t="shared" si="3"/>
        <v>17.0206338</v>
      </c>
      <c r="N260" s="10">
        <f t="shared" si="4"/>
        <v>1.579114827</v>
      </c>
      <c r="O260" s="10">
        <f t="shared" si="5"/>
        <v>4199.04</v>
      </c>
      <c r="P260" s="10">
        <f t="shared" si="6"/>
        <v>36.67338292</v>
      </c>
      <c r="Q260" s="10">
        <f t="shared" si="7"/>
        <v>2025</v>
      </c>
      <c r="R260" s="10">
        <f t="shared" si="8"/>
        <v>4</v>
      </c>
      <c r="S260" s="10" t="str">
        <f t="shared" si="9"/>
        <v>2025-04</v>
      </c>
    </row>
    <row r="261" ht="14.25" customHeight="1">
      <c r="A261" s="7" t="s">
        <v>287</v>
      </c>
      <c r="B261" s="8">
        <v>45721.0</v>
      </c>
      <c r="C261" s="7" t="s">
        <v>23</v>
      </c>
      <c r="D261" s="7" t="s">
        <v>29</v>
      </c>
      <c r="E261" s="9">
        <v>8055.77</v>
      </c>
      <c r="F261" s="9">
        <v>8184.75</v>
      </c>
      <c r="G261" s="9">
        <v>194986.0</v>
      </c>
      <c r="H261" s="9">
        <v>2202.0</v>
      </c>
      <c r="I261" s="9">
        <v>364.0</v>
      </c>
      <c r="J261" s="9">
        <v>14281.33</v>
      </c>
      <c r="K261" s="10">
        <f t="shared" si="1"/>
        <v>0.01129311848</v>
      </c>
      <c r="L261" s="10">
        <f t="shared" si="2"/>
        <v>3.716961853</v>
      </c>
      <c r="M261" s="10">
        <f t="shared" si="3"/>
        <v>22.48557692</v>
      </c>
      <c r="N261" s="10">
        <f t="shared" si="4"/>
        <v>1.744870644</v>
      </c>
      <c r="O261" s="10">
        <f t="shared" si="5"/>
        <v>6096.58</v>
      </c>
      <c r="P261" s="10">
        <f t="shared" si="6"/>
        <v>42.6891613</v>
      </c>
      <c r="Q261" s="10">
        <f t="shared" si="7"/>
        <v>2025</v>
      </c>
      <c r="R261" s="10">
        <f t="shared" si="8"/>
        <v>3</v>
      </c>
      <c r="S261" s="10" t="str">
        <f t="shared" si="9"/>
        <v>2025-03</v>
      </c>
    </row>
    <row r="262" ht="14.25" customHeight="1">
      <c r="A262" s="7" t="s">
        <v>288</v>
      </c>
      <c r="B262" s="8">
        <v>45803.0</v>
      </c>
      <c r="C262" s="7" t="s">
        <v>28</v>
      </c>
      <c r="D262" s="7" t="s">
        <v>24</v>
      </c>
      <c r="E262" s="9">
        <v>7857.64</v>
      </c>
      <c r="F262" s="9">
        <v>7565.47</v>
      </c>
      <c r="G262" s="9">
        <v>75023.0</v>
      </c>
      <c r="H262" s="9">
        <v>2918.0</v>
      </c>
      <c r="I262" s="9">
        <v>193.0</v>
      </c>
      <c r="J262" s="9">
        <v>5317.92</v>
      </c>
      <c r="K262" s="10">
        <f t="shared" si="1"/>
        <v>0.03889473895</v>
      </c>
      <c r="L262" s="10">
        <f t="shared" si="2"/>
        <v>2.592690199</v>
      </c>
      <c r="M262" s="10">
        <f t="shared" si="3"/>
        <v>39.19932642</v>
      </c>
      <c r="N262" s="10">
        <f t="shared" si="4"/>
        <v>0.7029199772</v>
      </c>
      <c r="O262" s="10">
        <f t="shared" si="5"/>
        <v>-2247.55</v>
      </c>
      <c r="P262" s="10">
        <f t="shared" si="6"/>
        <v>-42.26370461</v>
      </c>
      <c r="Q262" s="10">
        <f t="shared" si="7"/>
        <v>2025</v>
      </c>
      <c r="R262" s="10">
        <f t="shared" si="8"/>
        <v>5</v>
      </c>
      <c r="S262" s="10" t="str">
        <f t="shared" si="9"/>
        <v>2025-05</v>
      </c>
    </row>
    <row r="263" ht="14.25" customHeight="1">
      <c r="A263" s="7" t="s">
        <v>289</v>
      </c>
      <c r="B263" s="8">
        <v>45765.0</v>
      </c>
      <c r="C263" s="7" t="s">
        <v>20</v>
      </c>
      <c r="D263" s="7" t="s">
        <v>29</v>
      </c>
      <c r="E263" s="9">
        <v>5419.87</v>
      </c>
      <c r="F263" s="9">
        <v>4631.17</v>
      </c>
      <c r="G263" s="9">
        <v>190925.0</v>
      </c>
      <c r="H263" s="9">
        <v>4618.0</v>
      </c>
      <c r="I263" s="9">
        <v>144.0</v>
      </c>
      <c r="J263" s="9">
        <v>6804.51</v>
      </c>
      <c r="K263" s="10">
        <f t="shared" si="1"/>
        <v>0.02418750818</v>
      </c>
      <c r="L263" s="10">
        <f t="shared" si="2"/>
        <v>1.002851884</v>
      </c>
      <c r="M263" s="10">
        <f t="shared" si="3"/>
        <v>32.16090278</v>
      </c>
      <c r="N263" s="10">
        <f t="shared" si="4"/>
        <v>1.469285299</v>
      </c>
      <c r="O263" s="10">
        <f t="shared" si="5"/>
        <v>2173.34</v>
      </c>
      <c r="P263" s="10">
        <f t="shared" si="6"/>
        <v>31.93969882</v>
      </c>
      <c r="Q263" s="10">
        <f t="shared" si="7"/>
        <v>2025</v>
      </c>
      <c r="R263" s="10">
        <f t="shared" si="8"/>
        <v>4</v>
      </c>
      <c r="S263" s="10" t="str">
        <f t="shared" si="9"/>
        <v>2025-04</v>
      </c>
    </row>
    <row r="264" ht="14.25" customHeight="1">
      <c r="A264" s="7" t="s">
        <v>290</v>
      </c>
      <c r="B264" s="8">
        <v>45702.0</v>
      </c>
      <c r="C264" s="7" t="s">
        <v>33</v>
      </c>
      <c r="D264" s="7" t="s">
        <v>26</v>
      </c>
      <c r="E264" s="9">
        <v>7083.74</v>
      </c>
      <c r="F264" s="9">
        <v>6518.85</v>
      </c>
      <c r="G264" s="9">
        <v>166397.0</v>
      </c>
      <c r="H264" s="9">
        <v>1945.0</v>
      </c>
      <c r="I264" s="9">
        <v>236.0</v>
      </c>
      <c r="J264" s="9">
        <v>7991.0</v>
      </c>
      <c r="K264" s="10">
        <f t="shared" si="1"/>
        <v>0.01168891266</v>
      </c>
      <c r="L264" s="10">
        <f t="shared" si="2"/>
        <v>3.35159383</v>
      </c>
      <c r="M264" s="10">
        <f t="shared" si="3"/>
        <v>27.62224576</v>
      </c>
      <c r="N264" s="10">
        <f t="shared" si="4"/>
        <v>1.225829709</v>
      </c>
      <c r="O264" s="10">
        <f t="shared" si="5"/>
        <v>1472.15</v>
      </c>
      <c r="P264" s="10">
        <f t="shared" si="6"/>
        <v>18.42260043</v>
      </c>
      <c r="Q264" s="10">
        <f t="shared" si="7"/>
        <v>2025</v>
      </c>
      <c r="R264" s="10">
        <f t="shared" si="8"/>
        <v>2</v>
      </c>
      <c r="S264" s="10" t="str">
        <f t="shared" si="9"/>
        <v>2025-02</v>
      </c>
    </row>
    <row r="265" ht="14.25" customHeight="1">
      <c r="A265" s="7" t="s">
        <v>291</v>
      </c>
      <c r="B265" s="8">
        <v>45724.0</v>
      </c>
      <c r="C265" s="7" t="s">
        <v>23</v>
      </c>
      <c r="D265" s="7" t="s">
        <v>21</v>
      </c>
      <c r="E265" s="9">
        <v>9630.98</v>
      </c>
      <c r="F265" s="9">
        <v>8147.86</v>
      </c>
      <c r="G265" s="9">
        <v>77672.0</v>
      </c>
      <c r="H265" s="9">
        <v>2185.0</v>
      </c>
      <c r="I265" s="9">
        <v>376.0</v>
      </c>
      <c r="J265" s="9">
        <v>14132.67</v>
      </c>
      <c r="K265" s="10">
        <f t="shared" si="1"/>
        <v>0.02813111546</v>
      </c>
      <c r="L265" s="10">
        <f t="shared" si="2"/>
        <v>3.728997712</v>
      </c>
      <c r="M265" s="10">
        <f t="shared" si="3"/>
        <v>21.66984043</v>
      </c>
      <c r="N265" s="10">
        <f t="shared" si="4"/>
        <v>1.734525385</v>
      </c>
      <c r="O265" s="10">
        <f t="shared" si="5"/>
        <v>5984.81</v>
      </c>
      <c r="P265" s="10">
        <f t="shared" si="6"/>
        <v>42.3473413</v>
      </c>
      <c r="Q265" s="10">
        <f t="shared" si="7"/>
        <v>2025</v>
      </c>
      <c r="R265" s="10">
        <f t="shared" si="8"/>
        <v>3</v>
      </c>
      <c r="S265" s="10" t="str">
        <f t="shared" si="9"/>
        <v>2025-03</v>
      </c>
    </row>
    <row r="266" ht="14.25" customHeight="1">
      <c r="A266" s="7" t="s">
        <v>292</v>
      </c>
      <c r="B266" s="8">
        <v>45797.0</v>
      </c>
      <c r="C266" s="7" t="s">
        <v>23</v>
      </c>
      <c r="D266" s="7" t="s">
        <v>29</v>
      </c>
      <c r="E266" s="9">
        <v>6541.22</v>
      </c>
      <c r="F266" s="9">
        <v>6432.87</v>
      </c>
      <c r="G266" s="9">
        <v>127332.0</v>
      </c>
      <c r="H266" s="9">
        <v>4365.0</v>
      </c>
      <c r="I266" s="9">
        <v>646.0</v>
      </c>
      <c r="J266" s="9">
        <v>13270.98</v>
      </c>
      <c r="K266" s="10">
        <f t="shared" si="1"/>
        <v>0.03428046367</v>
      </c>
      <c r="L266" s="10">
        <f t="shared" si="2"/>
        <v>1.473738832</v>
      </c>
      <c r="M266" s="10">
        <f t="shared" si="3"/>
        <v>9.958003096</v>
      </c>
      <c r="N266" s="10">
        <f t="shared" si="4"/>
        <v>2.062995211</v>
      </c>
      <c r="O266" s="10">
        <f t="shared" si="5"/>
        <v>6838.11</v>
      </c>
      <c r="P266" s="10">
        <f t="shared" si="6"/>
        <v>51.52679003</v>
      </c>
      <c r="Q266" s="10">
        <f t="shared" si="7"/>
        <v>2025</v>
      </c>
      <c r="R266" s="10">
        <f t="shared" si="8"/>
        <v>5</v>
      </c>
      <c r="S266" s="10" t="str">
        <f t="shared" si="9"/>
        <v>2025-05</v>
      </c>
    </row>
    <row r="267" ht="14.25" customHeight="1">
      <c r="A267" s="7" t="s">
        <v>293</v>
      </c>
      <c r="B267" s="8">
        <v>45748.0</v>
      </c>
      <c r="C267" s="7" t="s">
        <v>31</v>
      </c>
      <c r="D267" s="7" t="s">
        <v>26</v>
      </c>
      <c r="E267" s="9">
        <v>9104.87</v>
      </c>
      <c r="F267" s="9">
        <v>9829.94</v>
      </c>
      <c r="G267" s="9">
        <v>155035.0</v>
      </c>
      <c r="H267" s="9">
        <v>4402.0</v>
      </c>
      <c r="I267" s="9">
        <v>390.0</v>
      </c>
      <c r="J267" s="9">
        <v>14412.06</v>
      </c>
      <c r="K267" s="10">
        <f t="shared" si="1"/>
        <v>0.02839358854</v>
      </c>
      <c r="L267" s="10">
        <f t="shared" si="2"/>
        <v>2.233062244</v>
      </c>
      <c r="M267" s="10">
        <f t="shared" si="3"/>
        <v>25.20497436</v>
      </c>
      <c r="N267" s="10">
        <f t="shared" si="4"/>
        <v>1.466139163</v>
      </c>
      <c r="O267" s="10">
        <f t="shared" si="5"/>
        <v>4582.12</v>
      </c>
      <c r="P267" s="10">
        <f t="shared" si="6"/>
        <v>31.7936506</v>
      </c>
      <c r="Q267" s="10">
        <f t="shared" si="7"/>
        <v>2025</v>
      </c>
      <c r="R267" s="10">
        <f t="shared" si="8"/>
        <v>4</v>
      </c>
      <c r="S267" s="10" t="str">
        <f t="shared" si="9"/>
        <v>2025-04</v>
      </c>
    </row>
    <row r="268" ht="14.25" customHeight="1">
      <c r="A268" s="7" t="s">
        <v>294</v>
      </c>
      <c r="B268" s="8">
        <v>45798.0</v>
      </c>
      <c r="C268" s="7" t="s">
        <v>20</v>
      </c>
      <c r="D268" s="7" t="s">
        <v>26</v>
      </c>
      <c r="E268" s="9">
        <v>7876.56</v>
      </c>
      <c r="F268" s="9">
        <v>8481.08</v>
      </c>
      <c r="G268" s="9">
        <v>148308.0</v>
      </c>
      <c r="H268" s="9">
        <v>5069.0</v>
      </c>
      <c r="I268" s="9">
        <v>397.0</v>
      </c>
      <c r="J268" s="9">
        <v>16363.21</v>
      </c>
      <c r="K268" s="10">
        <f t="shared" si="1"/>
        <v>0.034178871</v>
      </c>
      <c r="L268" s="10">
        <f t="shared" si="2"/>
        <v>1.673126849</v>
      </c>
      <c r="M268" s="10">
        <f t="shared" si="3"/>
        <v>21.36292191</v>
      </c>
      <c r="N268" s="10">
        <f t="shared" si="4"/>
        <v>1.929378098</v>
      </c>
      <c r="O268" s="10">
        <f t="shared" si="5"/>
        <v>7882.13</v>
      </c>
      <c r="P268" s="10">
        <f t="shared" si="6"/>
        <v>48.16982731</v>
      </c>
      <c r="Q268" s="10">
        <f t="shared" si="7"/>
        <v>2025</v>
      </c>
      <c r="R268" s="10">
        <f t="shared" si="8"/>
        <v>5</v>
      </c>
      <c r="S268" s="10" t="str">
        <f t="shared" si="9"/>
        <v>2025-05</v>
      </c>
    </row>
    <row r="269" ht="14.25" customHeight="1">
      <c r="A269" s="7" t="s">
        <v>295</v>
      </c>
      <c r="B269" s="8">
        <v>45713.0</v>
      </c>
      <c r="C269" s="7" t="s">
        <v>20</v>
      </c>
      <c r="D269" s="7" t="s">
        <v>21</v>
      </c>
      <c r="E269" s="9">
        <v>4067.77</v>
      </c>
      <c r="F269" s="9">
        <v>3957.48</v>
      </c>
      <c r="G269" s="9">
        <v>74611.0</v>
      </c>
      <c r="H269" s="9">
        <v>2423.0</v>
      </c>
      <c r="I269" s="9">
        <v>354.0</v>
      </c>
      <c r="J269" s="9">
        <v>13523.31</v>
      </c>
      <c r="K269" s="10">
        <f t="shared" si="1"/>
        <v>0.03247510421</v>
      </c>
      <c r="L269" s="10">
        <f t="shared" si="2"/>
        <v>1.633297565</v>
      </c>
      <c r="M269" s="10">
        <f t="shared" si="3"/>
        <v>11.17932203</v>
      </c>
      <c r="N269" s="10">
        <f t="shared" si="4"/>
        <v>3.417151824</v>
      </c>
      <c r="O269" s="10">
        <f t="shared" si="5"/>
        <v>9565.83</v>
      </c>
      <c r="P269" s="10">
        <f t="shared" si="6"/>
        <v>70.73586274</v>
      </c>
      <c r="Q269" s="10">
        <f t="shared" si="7"/>
        <v>2025</v>
      </c>
      <c r="R269" s="10">
        <f t="shared" si="8"/>
        <v>2</v>
      </c>
      <c r="S269" s="10" t="str">
        <f t="shared" si="9"/>
        <v>2025-02</v>
      </c>
    </row>
    <row r="270" ht="14.25" customHeight="1">
      <c r="A270" s="7" t="s">
        <v>296</v>
      </c>
      <c r="B270" s="8">
        <v>45776.0</v>
      </c>
      <c r="C270" s="7" t="s">
        <v>33</v>
      </c>
      <c r="D270" s="7" t="s">
        <v>21</v>
      </c>
      <c r="E270" s="9">
        <v>5968.91</v>
      </c>
      <c r="F270" s="9">
        <v>6093.86</v>
      </c>
      <c r="G270" s="9">
        <v>196435.0</v>
      </c>
      <c r="H270" s="9">
        <v>5991.0</v>
      </c>
      <c r="I270" s="9">
        <v>805.0</v>
      </c>
      <c r="J270" s="9">
        <v>38664.96</v>
      </c>
      <c r="K270" s="10">
        <f t="shared" si="1"/>
        <v>0.03049863823</v>
      </c>
      <c r="L270" s="10">
        <f t="shared" si="2"/>
        <v>1.017169087</v>
      </c>
      <c r="M270" s="10">
        <f t="shared" si="3"/>
        <v>7.570012422</v>
      </c>
      <c r="N270" s="10">
        <f t="shared" si="4"/>
        <v>6.344904543</v>
      </c>
      <c r="O270" s="10">
        <f t="shared" si="5"/>
        <v>32571.1</v>
      </c>
      <c r="P270" s="10">
        <f t="shared" si="6"/>
        <v>84.2393216</v>
      </c>
      <c r="Q270" s="10">
        <f t="shared" si="7"/>
        <v>2025</v>
      </c>
      <c r="R270" s="10">
        <f t="shared" si="8"/>
        <v>4</v>
      </c>
      <c r="S270" s="10" t="str">
        <f t="shared" si="9"/>
        <v>2025-04</v>
      </c>
    </row>
    <row r="271" ht="14.25" customHeight="1">
      <c r="A271" s="7" t="s">
        <v>297</v>
      </c>
      <c r="B271" s="8">
        <v>45711.0</v>
      </c>
      <c r="C271" s="7" t="s">
        <v>31</v>
      </c>
      <c r="D271" s="7" t="s">
        <v>21</v>
      </c>
      <c r="E271" s="9">
        <v>9478.98</v>
      </c>
      <c r="F271" s="9">
        <v>8865.23</v>
      </c>
      <c r="G271" s="9">
        <v>50483.0</v>
      </c>
      <c r="H271" s="9">
        <v>1111.0</v>
      </c>
      <c r="I271" s="9">
        <v>104.0</v>
      </c>
      <c r="J271" s="9">
        <v>2433.3</v>
      </c>
      <c r="K271" s="10">
        <f t="shared" si="1"/>
        <v>0.02200740843</v>
      </c>
      <c r="L271" s="10">
        <f t="shared" si="2"/>
        <v>7.97950495</v>
      </c>
      <c r="M271" s="10">
        <f t="shared" si="3"/>
        <v>85.24259615</v>
      </c>
      <c r="N271" s="10">
        <f t="shared" si="4"/>
        <v>0.2744768043</v>
      </c>
      <c r="O271" s="10">
        <f t="shared" si="5"/>
        <v>-6431.93</v>
      </c>
      <c r="P271" s="10">
        <f t="shared" si="6"/>
        <v>-264.3295114</v>
      </c>
      <c r="Q271" s="10">
        <f t="shared" si="7"/>
        <v>2025</v>
      </c>
      <c r="R271" s="10">
        <f t="shared" si="8"/>
        <v>2</v>
      </c>
      <c r="S271" s="10" t="str">
        <f t="shared" si="9"/>
        <v>2025-02</v>
      </c>
    </row>
    <row r="272" ht="14.25" customHeight="1">
      <c r="A272" s="7" t="s">
        <v>298</v>
      </c>
      <c r="B272" s="8">
        <v>45817.0</v>
      </c>
      <c r="C272" s="7" t="s">
        <v>28</v>
      </c>
      <c r="D272" s="7" t="s">
        <v>21</v>
      </c>
      <c r="E272" s="9">
        <v>9893.89</v>
      </c>
      <c r="F272" s="9">
        <v>10405.1</v>
      </c>
      <c r="G272" s="9">
        <v>156463.0</v>
      </c>
      <c r="H272" s="9">
        <v>3470.0</v>
      </c>
      <c r="I272" s="9">
        <v>102.0</v>
      </c>
      <c r="J272" s="9">
        <v>2421.47</v>
      </c>
      <c r="K272" s="10">
        <f t="shared" si="1"/>
        <v>0.02217776727</v>
      </c>
      <c r="L272" s="10">
        <f t="shared" si="2"/>
        <v>2.998587896</v>
      </c>
      <c r="M272" s="10">
        <f t="shared" si="3"/>
        <v>102.0107843</v>
      </c>
      <c r="N272" s="10">
        <f t="shared" si="4"/>
        <v>0.2327195318</v>
      </c>
      <c r="O272" s="10">
        <f t="shared" si="5"/>
        <v>-7983.63</v>
      </c>
      <c r="P272" s="10">
        <f t="shared" si="6"/>
        <v>-329.7017927</v>
      </c>
      <c r="Q272" s="10">
        <f t="shared" si="7"/>
        <v>2025</v>
      </c>
      <c r="R272" s="10">
        <f t="shared" si="8"/>
        <v>6</v>
      </c>
      <c r="S272" s="10" t="str">
        <f t="shared" si="9"/>
        <v>2025-06</v>
      </c>
    </row>
    <row r="273" ht="14.25" customHeight="1">
      <c r="A273" s="7" t="s">
        <v>299</v>
      </c>
      <c r="B273" s="8">
        <v>45644.0</v>
      </c>
      <c r="C273" s="7" t="s">
        <v>28</v>
      </c>
      <c r="D273" s="7" t="s">
        <v>29</v>
      </c>
      <c r="E273" s="9">
        <v>9445.89</v>
      </c>
      <c r="F273" s="9">
        <v>10021.8</v>
      </c>
      <c r="G273" s="9">
        <v>128263.0</v>
      </c>
      <c r="H273" s="9">
        <v>5531.0</v>
      </c>
      <c r="I273" s="9">
        <v>947.0</v>
      </c>
      <c r="J273" s="9">
        <v>33680.19</v>
      </c>
      <c r="K273" s="10">
        <f t="shared" si="1"/>
        <v>0.04312233458</v>
      </c>
      <c r="L273" s="10">
        <f t="shared" si="2"/>
        <v>1.811932743</v>
      </c>
      <c r="M273" s="10">
        <f t="shared" si="3"/>
        <v>10.58268215</v>
      </c>
      <c r="N273" s="10">
        <f t="shared" si="4"/>
        <v>3.36069269</v>
      </c>
      <c r="O273" s="10">
        <f t="shared" si="5"/>
        <v>23658.39</v>
      </c>
      <c r="P273" s="10">
        <f t="shared" si="6"/>
        <v>70.24422962</v>
      </c>
      <c r="Q273" s="10">
        <f t="shared" si="7"/>
        <v>2024</v>
      </c>
      <c r="R273" s="10">
        <f t="shared" si="8"/>
        <v>12</v>
      </c>
      <c r="S273" s="10" t="str">
        <f t="shared" si="9"/>
        <v>2024-12</v>
      </c>
    </row>
    <row r="274" ht="14.25" customHeight="1">
      <c r="A274" s="7" t="s">
        <v>300</v>
      </c>
      <c r="B274" s="8">
        <v>45768.0</v>
      </c>
      <c r="C274" s="7" t="s">
        <v>31</v>
      </c>
      <c r="D274" s="7" t="s">
        <v>26</v>
      </c>
      <c r="E274" s="9">
        <v>7138.93</v>
      </c>
      <c r="F274" s="9">
        <v>6565.68</v>
      </c>
      <c r="G274" s="9">
        <v>52499.0</v>
      </c>
      <c r="H274" s="9">
        <v>1190.0</v>
      </c>
      <c r="I274" s="9">
        <v>108.0</v>
      </c>
      <c r="J274" s="9">
        <v>2337.43</v>
      </c>
      <c r="K274" s="10">
        <f t="shared" si="1"/>
        <v>0.02266709842</v>
      </c>
      <c r="L274" s="10">
        <f t="shared" si="2"/>
        <v>5.517378151</v>
      </c>
      <c r="M274" s="10">
        <f t="shared" si="3"/>
        <v>60.79333333</v>
      </c>
      <c r="N274" s="10">
        <f t="shared" si="4"/>
        <v>0.3560072986</v>
      </c>
      <c r="O274" s="10">
        <f t="shared" si="5"/>
        <v>-4228.25</v>
      </c>
      <c r="P274" s="10">
        <f t="shared" si="6"/>
        <v>-180.8931177</v>
      </c>
      <c r="Q274" s="10">
        <f t="shared" si="7"/>
        <v>2025</v>
      </c>
      <c r="R274" s="10">
        <f t="shared" si="8"/>
        <v>4</v>
      </c>
      <c r="S274" s="10" t="str">
        <f t="shared" si="9"/>
        <v>2025-04</v>
      </c>
    </row>
    <row r="275" ht="14.25" customHeight="1">
      <c r="A275" s="7" t="s">
        <v>301</v>
      </c>
      <c r="B275" s="8">
        <v>45657.0</v>
      </c>
      <c r="C275" s="7" t="s">
        <v>20</v>
      </c>
      <c r="D275" s="7" t="s">
        <v>24</v>
      </c>
      <c r="E275" s="9">
        <v>5346.38</v>
      </c>
      <c r="F275" s="9">
        <v>5564.81</v>
      </c>
      <c r="G275" s="9">
        <v>67097.0</v>
      </c>
      <c r="H275" s="9">
        <v>1613.0</v>
      </c>
      <c r="I275" s="9">
        <v>258.0</v>
      </c>
      <c r="J275" s="9">
        <v>5195.85</v>
      </c>
      <c r="K275" s="10">
        <f t="shared" si="1"/>
        <v>0.02403982294</v>
      </c>
      <c r="L275" s="10">
        <f t="shared" si="2"/>
        <v>3.449975201</v>
      </c>
      <c r="M275" s="10">
        <f t="shared" si="3"/>
        <v>21.56903101</v>
      </c>
      <c r="N275" s="10">
        <f t="shared" si="4"/>
        <v>0.9336976465</v>
      </c>
      <c r="O275" s="10">
        <f t="shared" si="5"/>
        <v>-368.96</v>
      </c>
      <c r="P275" s="10">
        <f t="shared" si="6"/>
        <v>-7.101051801</v>
      </c>
      <c r="Q275" s="10">
        <f t="shared" si="7"/>
        <v>2024</v>
      </c>
      <c r="R275" s="10">
        <f t="shared" si="8"/>
        <v>12</v>
      </c>
      <c r="S275" s="10" t="str">
        <f t="shared" si="9"/>
        <v>2024-12</v>
      </c>
    </row>
    <row r="276" ht="14.25" customHeight="1">
      <c r="A276" s="7" t="s">
        <v>302</v>
      </c>
      <c r="B276" s="8">
        <v>45641.0</v>
      </c>
      <c r="C276" s="7" t="s">
        <v>23</v>
      </c>
      <c r="D276" s="7" t="s">
        <v>29</v>
      </c>
      <c r="E276" s="9">
        <v>5334.49</v>
      </c>
      <c r="F276" s="9">
        <v>4904.8</v>
      </c>
      <c r="G276" s="9">
        <v>191774.0</v>
      </c>
      <c r="H276" s="9">
        <v>6884.0</v>
      </c>
      <c r="I276" s="9">
        <v>582.0</v>
      </c>
      <c r="J276" s="9">
        <v>21022.93</v>
      </c>
      <c r="K276" s="10">
        <f t="shared" si="1"/>
        <v>0.03589641974</v>
      </c>
      <c r="L276" s="10">
        <f t="shared" si="2"/>
        <v>0.7124927368</v>
      </c>
      <c r="M276" s="10">
        <f t="shared" si="3"/>
        <v>8.427491409</v>
      </c>
      <c r="N276" s="10">
        <f t="shared" si="4"/>
        <v>4.286195156</v>
      </c>
      <c r="O276" s="10">
        <f t="shared" si="5"/>
        <v>16118.13</v>
      </c>
      <c r="P276" s="10">
        <f t="shared" si="6"/>
        <v>76.66928444</v>
      </c>
      <c r="Q276" s="10">
        <f t="shared" si="7"/>
        <v>2024</v>
      </c>
      <c r="R276" s="10">
        <f t="shared" si="8"/>
        <v>12</v>
      </c>
      <c r="S276" s="10" t="str">
        <f t="shared" si="9"/>
        <v>2024-12</v>
      </c>
    </row>
    <row r="277" ht="14.25" customHeight="1">
      <c r="A277" s="7" t="s">
        <v>303</v>
      </c>
      <c r="B277" s="8">
        <v>45663.0</v>
      </c>
      <c r="C277" s="7" t="s">
        <v>28</v>
      </c>
      <c r="D277" s="7" t="s">
        <v>29</v>
      </c>
      <c r="E277" s="9">
        <v>9438.99</v>
      </c>
      <c r="F277" s="9">
        <v>8531.94</v>
      </c>
      <c r="G277" s="9">
        <v>178702.0</v>
      </c>
      <c r="H277" s="9">
        <v>4580.0</v>
      </c>
      <c r="I277" s="9">
        <v>285.0</v>
      </c>
      <c r="J277" s="9">
        <v>8666.45</v>
      </c>
      <c r="K277" s="10">
        <f t="shared" si="1"/>
        <v>0.02562925989</v>
      </c>
      <c r="L277" s="10">
        <f t="shared" si="2"/>
        <v>1.862868996</v>
      </c>
      <c r="M277" s="10">
        <f t="shared" si="3"/>
        <v>29.93663158</v>
      </c>
      <c r="N277" s="10">
        <f t="shared" si="4"/>
        <v>1.015765465</v>
      </c>
      <c r="O277" s="10">
        <f t="shared" si="5"/>
        <v>134.51</v>
      </c>
      <c r="P277" s="10">
        <f t="shared" si="6"/>
        <v>1.552077263</v>
      </c>
      <c r="Q277" s="10">
        <f t="shared" si="7"/>
        <v>2025</v>
      </c>
      <c r="R277" s="10">
        <f t="shared" si="8"/>
        <v>1</v>
      </c>
      <c r="S277" s="10" t="str">
        <f t="shared" si="9"/>
        <v>2025-01</v>
      </c>
    </row>
    <row r="278" ht="14.25" customHeight="1">
      <c r="A278" s="7" t="s">
        <v>304</v>
      </c>
      <c r="B278" s="8">
        <v>45668.0</v>
      </c>
      <c r="C278" s="7" t="s">
        <v>33</v>
      </c>
      <c r="D278" s="7" t="s">
        <v>29</v>
      </c>
      <c r="E278" s="9">
        <v>8162.51</v>
      </c>
      <c r="F278" s="9">
        <v>7637.38</v>
      </c>
      <c r="G278" s="9">
        <v>70461.0</v>
      </c>
      <c r="H278" s="9">
        <v>2962.0</v>
      </c>
      <c r="I278" s="9">
        <v>302.0</v>
      </c>
      <c r="J278" s="9">
        <v>8074.92</v>
      </c>
      <c r="K278" s="10">
        <f t="shared" si="1"/>
        <v>0.04203743915</v>
      </c>
      <c r="L278" s="10">
        <f t="shared" si="2"/>
        <v>2.578453747</v>
      </c>
      <c r="M278" s="10">
        <f t="shared" si="3"/>
        <v>25.28933775</v>
      </c>
      <c r="N278" s="10">
        <f t="shared" si="4"/>
        <v>1.05728928</v>
      </c>
      <c r="O278" s="10">
        <f t="shared" si="5"/>
        <v>437.54</v>
      </c>
      <c r="P278" s="10">
        <f t="shared" si="6"/>
        <v>5.418505694</v>
      </c>
      <c r="Q278" s="10">
        <f t="shared" si="7"/>
        <v>2025</v>
      </c>
      <c r="R278" s="10">
        <f t="shared" si="8"/>
        <v>1</v>
      </c>
      <c r="S278" s="10" t="str">
        <f t="shared" si="9"/>
        <v>2025-01</v>
      </c>
    </row>
    <row r="279" ht="14.25" customHeight="1">
      <c r="A279" s="7" t="s">
        <v>305</v>
      </c>
      <c r="B279" s="8">
        <v>45812.0</v>
      </c>
      <c r="C279" s="7" t="s">
        <v>31</v>
      </c>
      <c r="D279" s="7" t="s">
        <v>21</v>
      </c>
      <c r="E279" s="9">
        <v>6167.08</v>
      </c>
      <c r="F279" s="9">
        <v>5194.27</v>
      </c>
      <c r="G279" s="9">
        <v>105961.0</v>
      </c>
      <c r="H279" s="9">
        <v>4343.0</v>
      </c>
      <c r="I279" s="9">
        <v>558.0</v>
      </c>
      <c r="J279" s="9">
        <v>14112.72</v>
      </c>
      <c r="K279" s="10">
        <f t="shared" si="1"/>
        <v>0.04098677815</v>
      </c>
      <c r="L279" s="10">
        <f t="shared" si="2"/>
        <v>1.196009671</v>
      </c>
      <c r="M279" s="10">
        <f t="shared" si="3"/>
        <v>9.308727599</v>
      </c>
      <c r="N279" s="10">
        <f t="shared" si="4"/>
        <v>2.716978517</v>
      </c>
      <c r="O279" s="10">
        <f t="shared" si="5"/>
        <v>8918.45</v>
      </c>
      <c r="P279" s="10">
        <f t="shared" si="6"/>
        <v>63.19440902</v>
      </c>
      <c r="Q279" s="10">
        <f t="shared" si="7"/>
        <v>2025</v>
      </c>
      <c r="R279" s="10">
        <f t="shared" si="8"/>
        <v>6</v>
      </c>
      <c r="S279" s="10" t="str">
        <f t="shared" si="9"/>
        <v>2025-06</v>
      </c>
    </row>
    <row r="280" ht="14.25" customHeight="1">
      <c r="A280" s="7" t="s">
        <v>306</v>
      </c>
      <c r="B280" s="8">
        <v>45711.0</v>
      </c>
      <c r="C280" s="7" t="s">
        <v>31</v>
      </c>
      <c r="D280" s="7" t="s">
        <v>24</v>
      </c>
      <c r="E280" s="9">
        <v>6488.57</v>
      </c>
      <c r="F280" s="9">
        <v>6006.32</v>
      </c>
      <c r="G280" s="9">
        <v>70597.0</v>
      </c>
      <c r="H280" s="9">
        <v>2706.0</v>
      </c>
      <c r="I280" s="9">
        <v>330.0</v>
      </c>
      <c r="J280" s="9">
        <v>15656.97</v>
      </c>
      <c r="K280" s="10">
        <f t="shared" si="1"/>
        <v>0.03833024066</v>
      </c>
      <c r="L280" s="10">
        <f t="shared" si="2"/>
        <v>2.219630451</v>
      </c>
      <c r="M280" s="10">
        <f t="shared" si="3"/>
        <v>18.2009697</v>
      </c>
      <c r="N280" s="10">
        <f t="shared" si="4"/>
        <v>2.606749224</v>
      </c>
      <c r="O280" s="10">
        <f t="shared" si="5"/>
        <v>9650.65</v>
      </c>
      <c r="P280" s="10">
        <f t="shared" si="6"/>
        <v>61.63804363</v>
      </c>
      <c r="Q280" s="10">
        <f t="shared" si="7"/>
        <v>2025</v>
      </c>
      <c r="R280" s="10">
        <f t="shared" si="8"/>
        <v>2</v>
      </c>
      <c r="S280" s="10" t="str">
        <f t="shared" si="9"/>
        <v>2025-02</v>
      </c>
    </row>
    <row r="281" ht="14.25" customHeight="1">
      <c r="A281" s="7" t="s">
        <v>307</v>
      </c>
      <c r="B281" s="8">
        <v>45706.0</v>
      </c>
      <c r="C281" s="7" t="s">
        <v>20</v>
      </c>
      <c r="D281" s="7" t="s">
        <v>24</v>
      </c>
      <c r="E281" s="9">
        <v>5536.76</v>
      </c>
      <c r="F281" s="9">
        <v>5393.78</v>
      </c>
      <c r="G281" s="9">
        <v>99708.0</v>
      </c>
      <c r="H281" s="9">
        <v>4677.0</v>
      </c>
      <c r="I281" s="9">
        <v>700.0</v>
      </c>
      <c r="J281" s="9">
        <v>27277.55</v>
      </c>
      <c r="K281" s="10">
        <f t="shared" si="1"/>
        <v>0.04690696835</v>
      </c>
      <c r="L281" s="10">
        <f t="shared" si="2"/>
        <v>1.153256361</v>
      </c>
      <c r="M281" s="10">
        <f t="shared" si="3"/>
        <v>7.7054</v>
      </c>
      <c r="N281" s="10">
        <f t="shared" si="4"/>
        <v>5.05722332</v>
      </c>
      <c r="O281" s="10">
        <f t="shared" si="5"/>
        <v>21883.77</v>
      </c>
      <c r="P281" s="10">
        <f t="shared" si="6"/>
        <v>80.22630332</v>
      </c>
      <c r="Q281" s="10">
        <f t="shared" si="7"/>
        <v>2025</v>
      </c>
      <c r="R281" s="10">
        <f t="shared" si="8"/>
        <v>2</v>
      </c>
      <c r="S281" s="10" t="str">
        <f t="shared" si="9"/>
        <v>2025-02</v>
      </c>
    </row>
    <row r="282" ht="14.25" customHeight="1">
      <c r="A282" s="7" t="s">
        <v>308</v>
      </c>
      <c r="B282" s="8">
        <v>45682.0</v>
      </c>
      <c r="C282" s="7" t="s">
        <v>28</v>
      </c>
      <c r="D282" s="7" t="s">
        <v>24</v>
      </c>
      <c r="E282" s="9">
        <v>3091.66</v>
      </c>
      <c r="F282" s="9">
        <v>3088.76</v>
      </c>
      <c r="G282" s="9">
        <v>170519.0</v>
      </c>
      <c r="H282" s="9">
        <v>7134.0</v>
      </c>
      <c r="I282" s="9">
        <v>1220.0</v>
      </c>
      <c r="J282" s="9">
        <v>30916.12</v>
      </c>
      <c r="K282" s="10">
        <f t="shared" si="1"/>
        <v>0.04183698004</v>
      </c>
      <c r="L282" s="10">
        <f t="shared" si="2"/>
        <v>0.4329632745</v>
      </c>
      <c r="M282" s="10">
        <f t="shared" si="3"/>
        <v>2.531770492</v>
      </c>
      <c r="N282" s="10">
        <f t="shared" si="4"/>
        <v>10.00923348</v>
      </c>
      <c r="O282" s="10">
        <f t="shared" si="5"/>
        <v>27827.36</v>
      </c>
      <c r="P282" s="10">
        <f t="shared" si="6"/>
        <v>90.00922496</v>
      </c>
      <c r="Q282" s="10">
        <f t="shared" si="7"/>
        <v>2025</v>
      </c>
      <c r="R282" s="10">
        <f t="shared" si="8"/>
        <v>1</v>
      </c>
      <c r="S282" s="10" t="str">
        <f t="shared" si="9"/>
        <v>2025-01</v>
      </c>
    </row>
    <row r="283" ht="14.25" customHeight="1">
      <c r="A283" s="7" t="s">
        <v>309</v>
      </c>
      <c r="B283" s="8">
        <v>45797.0</v>
      </c>
      <c r="C283" s="7" t="s">
        <v>31</v>
      </c>
      <c r="D283" s="7" t="s">
        <v>21</v>
      </c>
      <c r="E283" s="9">
        <v>9727.49</v>
      </c>
      <c r="F283" s="9">
        <v>8215.83</v>
      </c>
      <c r="G283" s="9">
        <v>124323.0</v>
      </c>
      <c r="H283" s="9">
        <v>2448.0</v>
      </c>
      <c r="I283" s="9">
        <v>214.0</v>
      </c>
      <c r="J283" s="9">
        <v>6941.89</v>
      </c>
      <c r="K283" s="10">
        <f t="shared" si="1"/>
        <v>0.01969064453</v>
      </c>
      <c r="L283" s="10">
        <f t="shared" si="2"/>
        <v>3.356139706</v>
      </c>
      <c r="M283" s="10">
        <f t="shared" si="3"/>
        <v>38.39172897</v>
      </c>
      <c r="N283" s="10">
        <f t="shared" si="4"/>
        <v>0.8449408033</v>
      </c>
      <c r="O283" s="10">
        <f t="shared" si="5"/>
        <v>-1273.94</v>
      </c>
      <c r="P283" s="10">
        <f t="shared" si="6"/>
        <v>-18.35148641</v>
      </c>
      <c r="Q283" s="10">
        <f t="shared" si="7"/>
        <v>2025</v>
      </c>
      <c r="R283" s="10">
        <f t="shared" si="8"/>
        <v>5</v>
      </c>
      <c r="S283" s="10" t="str">
        <f t="shared" si="9"/>
        <v>2025-05</v>
      </c>
    </row>
    <row r="284" ht="14.25" customHeight="1">
      <c r="A284" s="7" t="s">
        <v>310</v>
      </c>
      <c r="B284" s="8">
        <v>45643.0</v>
      </c>
      <c r="C284" s="7" t="s">
        <v>28</v>
      </c>
      <c r="D284" s="7" t="s">
        <v>21</v>
      </c>
      <c r="E284" s="9">
        <v>3597.45</v>
      </c>
      <c r="F284" s="9">
        <v>3953.82</v>
      </c>
      <c r="G284" s="9">
        <v>92675.0</v>
      </c>
      <c r="H284" s="9">
        <v>1207.0</v>
      </c>
      <c r="I284" s="9">
        <v>133.0</v>
      </c>
      <c r="J284" s="9">
        <v>4663.76</v>
      </c>
      <c r="K284" s="10">
        <f t="shared" si="1"/>
        <v>0.01302400863</v>
      </c>
      <c r="L284" s="10">
        <f t="shared" si="2"/>
        <v>3.275741508</v>
      </c>
      <c r="M284" s="10">
        <f t="shared" si="3"/>
        <v>29.72796992</v>
      </c>
      <c r="N284" s="10">
        <f t="shared" si="4"/>
        <v>1.179557997</v>
      </c>
      <c r="O284" s="10">
        <f t="shared" si="5"/>
        <v>709.94</v>
      </c>
      <c r="P284" s="10">
        <f t="shared" si="6"/>
        <v>15.22248143</v>
      </c>
      <c r="Q284" s="10">
        <f t="shared" si="7"/>
        <v>2024</v>
      </c>
      <c r="R284" s="10">
        <f t="shared" si="8"/>
        <v>12</v>
      </c>
      <c r="S284" s="10" t="str">
        <f t="shared" si="9"/>
        <v>2024-12</v>
      </c>
    </row>
    <row r="285" ht="14.25" customHeight="1">
      <c r="A285" s="7" t="s">
        <v>311</v>
      </c>
      <c r="B285" s="8">
        <v>45763.0</v>
      </c>
      <c r="C285" s="7" t="s">
        <v>20</v>
      </c>
      <c r="D285" s="7" t="s">
        <v>21</v>
      </c>
      <c r="E285" s="9">
        <v>7167.7</v>
      </c>
      <c r="F285" s="9">
        <v>5878.4</v>
      </c>
      <c r="G285" s="9">
        <v>71769.0</v>
      </c>
      <c r="H285" s="9">
        <v>3290.0</v>
      </c>
      <c r="I285" s="9">
        <v>54.0</v>
      </c>
      <c r="J285" s="9">
        <v>2294.94</v>
      </c>
      <c r="K285" s="10">
        <f t="shared" si="1"/>
        <v>0.04584151932</v>
      </c>
      <c r="L285" s="10">
        <f t="shared" si="2"/>
        <v>1.78674772</v>
      </c>
      <c r="M285" s="10">
        <f t="shared" si="3"/>
        <v>108.8592593</v>
      </c>
      <c r="N285" s="10">
        <f t="shared" si="4"/>
        <v>0.3904021502</v>
      </c>
      <c r="O285" s="10">
        <f t="shared" si="5"/>
        <v>-3583.46</v>
      </c>
      <c r="P285" s="10">
        <f t="shared" si="6"/>
        <v>-156.1461302</v>
      </c>
      <c r="Q285" s="10">
        <f t="shared" si="7"/>
        <v>2025</v>
      </c>
      <c r="R285" s="10">
        <f t="shared" si="8"/>
        <v>4</v>
      </c>
      <c r="S285" s="10" t="str">
        <f t="shared" si="9"/>
        <v>2025-04</v>
      </c>
    </row>
    <row r="286" ht="14.25" customHeight="1">
      <c r="A286" s="7" t="s">
        <v>312</v>
      </c>
      <c r="B286" s="8">
        <v>45754.0</v>
      </c>
      <c r="C286" s="7" t="s">
        <v>20</v>
      </c>
      <c r="D286" s="7" t="s">
        <v>24</v>
      </c>
      <c r="E286" s="9">
        <v>4469.34</v>
      </c>
      <c r="F286" s="9">
        <v>4779.58</v>
      </c>
      <c r="G286" s="9">
        <v>61798.0</v>
      </c>
      <c r="H286" s="9">
        <v>1170.0</v>
      </c>
      <c r="I286" s="9">
        <v>114.0</v>
      </c>
      <c r="J286" s="9">
        <v>2981.58</v>
      </c>
      <c r="K286" s="10">
        <f t="shared" si="1"/>
        <v>0.01893265154</v>
      </c>
      <c r="L286" s="10">
        <f t="shared" si="2"/>
        <v>4.085111111</v>
      </c>
      <c r="M286" s="10">
        <f t="shared" si="3"/>
        <v>41.92614035</v>
      </c>
      <c r="N286" s="10">
        <f t="shared" si="4"/>
        <v>0.6238163186</v>
      </c>
      <c r="O286" s="10">
        <f t="shared" si="5"/>
        <v>-1798</v>
      </c>
      <c r="P286" s="10">
        <f t="shared" si="6"/>
        <v>-60.30359742</v>
      </c>
      <c r="Q286" s="10">
        <f t="shared" si="7"/>
        <v>2025</v>
      </c>
      <c r="R286" s="10">
        <f t="shared" si="8"/>
        <v>4</v>
      </c>
      <c r="S286" s="10" t="str">
        <f t="shared" si="9"/>
        <v>2025-04</v>
      </c>
    </row>
    <row r="287" ht="14.25" customHeight="1">
      <c r="A287" s="7" t="s">
        <v>313</v>
      </c>
      <c r="B287" s="8">
        <v>45693.0</v>
      </c>
      <c r="C287" s="7" t="s">
        <v>33</v>
      </c>
      <c r="D287" s="7" t="s">
        <v>21</v>
      </c>
      <c r="E287" s="9">
        <v>4334.81</v>
      </c>
      <c r="F287" s="9">
        <v>3515.38</v>
      </c>
      <c r="G287" s="9">
        <v>78277.0</v>
      </c>
      <c r="H287" s="9">
        <v>1196.0</v>
      </c>
      <c r="I287" s="9">
        <v>224.0</v>
      </c>
      <c r="J287" s="9">
        <v>7652.29</v>
      </c>
      <c r="K287" s="10">
        <f t="shared" si="1"/>
        <v>0.01527907304</v>
      </c>
      <c r="L287" s="10">
        <f t="shared" si="2"/>
        <v>2.939280936</v>
      </c>
      <c r="M287" s="10">
        <f t="shared" si="3"/>
        <v>15.69366071</v>
      </c>
      <c r="N287" s="10">
        <f t="shared" si="4"/>
        <v>2.176803077</v>
      </c>
      <c r="O287" s="10">
        <f t="shared" si="5"/>
        <v>4136.91</v>
      </c>
      <c r="P287" s="10">
        <f t="shared" si="6"/>
        <v>54.06107191</v>
      </c>
      <c r="Q287" s="10">
        <f t="shared" si="7"/>
        <v>2025</v>
      </c>
      <c r="R287" s="10">
        <f t="shared" si="8"/>
        <v>2</v>
      </c>
      <c r="S287" s="10" t="str">
        <f t="shared" si="9"/>
        <v>2025-02</v>
      </c>
    </row>
    <row r="288" ht="14.25" customHeight="1">
      <c r="A288" s="7" t="s">
        <v>314</v>
      </c>
      <c r="B288" s="8">
        <v>45814.0</v>
      </c>
      <c r="C288" s="7" t="s">
        <v>23</v>
      </c>
      <c r="D288" s="7" t="s">
        <v>24</v>
      </c>
      <c r="E288" s="9">
        <v>6953.89</v>
      </c>
      <c r="F288" s="9">
        <v>5700.19</v>
      </c>
      <c r="G288" s="9">
        <v>65823.0</v>
      </c>
      <c r="H288" s="9">
        <v>1049.0</v>
      </c>
      <c r="I288" s="9">
        <v>73.0</v>
      </c>
      <c r="J288" s="9">
        <v>3158.41</v>
      </c>
      <c r="K288" s="10">
        <f t="shared" si="1"/>
        <v>0.01593667867</v>
      </c>
      <c r="L288" s="10">
        <f t="shared" si="2"/>
        <v>5.43392755</v>
      </c>
      <c r="M288" s="10">
        <f t="shared" si="3"/>
        <v>78.08479452</v>
      </c>
      <c r="N288" s="10">
        <f t="shared" si="4"/>
        <v>0.5540885479</v>
      </c>
      <c r="O288" s="10">
        <f t="shared" si="5"/>
        <v>-2541.78</v>
      </c>
      <c r="P288" s="10">
        <f t="shared" si="6"/>
        <v>-80.47656891</v>
      </c>
      <c r="Q288" s="10">
        <f t="shared" si="7"/>
        <v>2025</v>
      </c>
      <c r="R288" s="10">
        <f t="shared" si="8"/>
        <v>6</v>
      </c>
      <c r="S288" s="10" t="str">
        <f t="shared" si="9"/>
        <v>2025-06</v>
      </c>
    </row>
    <row r="289" ht="14.25" customHeight="1">
      <c r="A289" s="7" t="s">
        <v>315</v>
      </c>
      <c r="B289" s="8">
        <v>45738.0</v>
      </c>
      <c r="C289" s="7" t="s">
        <v>31</v>
      </c>
      <c r="D289" s="7" t="s">
        <v>21</v>
      </c>
      <c r="E289" s="9">
        <v>6173.02</v>
      </c>
      <c r="F289" s="9">
        <v>5909.54</v>
      </c>
      <c r="G289" s="9">
        <v>146175.0</v>
      </c>
      <c r="H289" s="9">
        <v>1946.0</v>
      </c>
      <c r="I289" s="9">
        <v>140.0</v>
      </c>
      <c r="J289" s="9">
        <v>4651.2</v>
      </c>
      <c r="K289" s="10">
        <f t="shared" si="1"/>
        <v>0.01331280999</v>
      </c>
      <c r="L289" s="10">
        <f t="shared" si="2"/>
        <v>3.03676259</v>
      </c>
      <c r="M289" s="10">
        <f t="shared" si="3"/>
        <v>42.211</v>
      </c>
      <c r="N289" s="10">
        <f t="shared" si="4"/>
        <v>0.7870663368</v>
      </c>
      <c r="O289" s="10">
        <f t="shared" si="5"/>
        <v>-1258.34</v>
      </c>
      <c r="P289" s="10">
        <f t="shared" si="6"/>
        <v>-27.05409357</v>
      </c>
      <c r="Q289" s="10">
        <f t="shared" si="7"/>
        <v>2025</v>
      </c>
      <c r="R289" s="10">
        <f t="shared" si="8"/>
        <v>3</v>
      </c>
      <c r="S289" s="10" t="str">
        <f t="shared" si="9"/>
        <v>2025-03</v>
      </c>
    </row>
    <row r="290" ht="14.25" customHeight="1">
      <c r="A290" s="7" t="s">
        <v>316</v>
      </c>
      <c r="B290" s="8">
        <v>45642.0</v>
      </c>
      <c r="C290" s="7" t="s">
        <v>20</v>
      </c>
      <c r="D290" s="7" t="s">
        <v>26</v>
      </c>
      <c r="E290" s="9">
        <v>5805.34</v>
      </c>
      <c r="F290" s="9">
        <v>5618.94</v>
      </c>
      <c r="G290" s="9">
        <v>102654.0</v>
      </c>
      <c r="H290" s="9">
        <v>4465.0</v>
      </c>
      <c r="I290" s="9">
        <v>500.0</v>
      </c>
      <c r="J290" s="9">
        <v>12328.6</v>
      </c>
      <c r="K290" s="10">
        <f t="shared" si="1"/>
        <v>0.04349562608</v>
      </c>
      <c r="L290" s="10">
        <f t="shared" si="2"/>
        <v>1.258441209</v>
      </c>
      <c r="M290" s="10">
        <f t="shared" si="3"/>
        <v>11.23788</v>
      </c>
      <c r="N290" s="10">
        <f t="shared" si="4"/>
        <v>2.194114904</v>
      </c>
      <c r="O290" s="10">
        <f t="shared" si="5"/>
        <v>6709.66</v>
      </c>
      <c r="P290" s="10">
        <f t="shared" si="6"/>
        <v>54.42353552</v>
      </c>
      <c r="Q290" s="10">
        <f t="shared" si="7"/>
        <v>2024</v>
      </c>
      <c r="R290" s="10">
        <f t="shared" si="8"/>
        <v>12</v>
      </c>
      <c r="S290" s="10" t="str">
        <f t="shared" si="9"/>
        <v>2024-12</v>
      </c>
    </row>
    <row r="291" ht="14.25" customHeight="1">
      <c r="A291" s="7" t="s">
        <v>317</v>
      </c>
      <c r="B291" s="8">
        <v>45675.0</v>
      </c>
      <c r="C291" s="7" t="s">
        <v>28</v>
      </c>
      <c r="D291" s="7" t="s">
        <v>29</v>
      </c>
      <c r="E291" s="9">
        <v>4273.5</v>
      </c>
      <c r="F291" s="9">
        <v>4523.65</v>
      </c>
      <c r="G291" s="9">
        <v>68829.0</v>
      </c>
      <c r="H291" s="9">
        <v>1090.0</v>
      </c>
      <c r="I291" s="9">
        <v>124.0</v>
      </c>
      <c r="J291" s="9">
        <v>5999.55</v>
      </c>
      <c r="K291" s="10">
        <f t="shared" si="1"/>
        <v>0.01583634805</v>
      </c>
      <c r="L291" s="10">
        <f t="shared" si="2"/>
        <v>4.150137615</v>
      </c>
      <c r="M291" s="10">
        <f t="shared" si="3"/>
        <v>36.48104839</v>
      </c>
      <c r="N291" s="10">
        <f t="shared" si="4"/>
        <v>1.326263084</v>
      </c>
      <c r="O291" s="10">
        <f t="shared" si="5"/>
        <v>1475.9</v>
      </c>
      <c r="P291" s="10">
        <f t="shared" si="6"/>
        <v>24.60017835</v>
      </c>
      <c r="Q291" s="10">
        <f t="shared" si="7"/>
        <v>2025</v>
      </c>
      <c r="R291" s="10">
        <f t="shared" si="8"/>
        <v>1</v>
      </c>
      <c r="S291" s="10" t="str">
        <f t="shared" si="9"/>
        <v>2025-01</v>
      </c>
    </row>
    <row r="292" ht="14.25" customHeight="1">
      <c r="A292" s="7" t="s">
        <v>318</v>
      </c>
      <c r="B292" s="8">
        <v>45665.0</v>
      </c>
      <c r="C292" s="7" t="s">
        <v>28</v>
      </c>
      <c r="D292" s="7" t="s">
        <v>24</v>
      </c>
      <c r="E292" s="9">
        <v>5613.17</v>
      </c>
      <c r="F292" s="9">
        <v>4946.46</v>
      </c>
      <c r="G292" s="9">
        <v>112356.0</v>
      </c>
      <c r="H292" s="9">
        <v>4894.0</v>
      </c>
      <c r="I292" s="9">
        <v>191.0</v>
      </c>
      <c r="J292" s="9">
        <v>7510.12</v>
      </c>
      <c r="K292" s="10">
        <f t="shared" si="1"/>
        <v>0.04355797643</v>
      </c>
      <c r="L292" s="10">
        <f t="shared" si="2"/>
        <v>1.010719248</v>
      </c>
      <c r="M292" s="10">
        <f t="shared" si="3"/>
        <v>25.89769634</v>
      </c>
      <c r="N292" s="10">
        <f t="shared" si="4"/>
        <v>1.518281761</v>
      </c>
      <c r="O292" s="10">
        <f t="shared" si="5"/>
        <v>2563.66</v>
      </c>
      <c r="P292" s="10">
        <f t="shared" si="6"/>
        <v>34.13607239</v>
      </c>
      <c r="Q292" s="10">
        <f t="shared" si="7"/>
        <v>2025</v>
      </c>
      <c r="R292" s="10">
        <f t="shared" si="8"/>
        <v>1</v>
      </c>
      <c r="S292" s="10" t="str">
        <f t="shared" si="9"/>
        <v>2025-01</v>
      </c>
    </row>
    <row r="293" ht="14.25" customHeight="1">
      <c r="A293" s="7" t="s">
        <v>319</v>
      </c>
      <c r="B293" s="8">
        <v>45661.0</v>
      </c>
      <c r="C293" s="7" t="s">
        <v>28</v>
      </c>
      <c r="D293" s="7" t="s">
        <v>29</v>
      </c>
      <c r="E293" s="9">
        <v>5861.14</v>
      </c>
      <c r="F293" s="9">
        <v>4733.55</v>
      </c>
      <c r="G293" s="9">
        <v>195477.0</v>
      </c>
      <c r="H293" s="9">
        <v>3560.0</v>
      </c>
      <c r="I293" s="9">
        <v>118.0</v>
      </c>
      <c r="J293" s="9">
        <v>2912.78</v>
      </c>
      <c r="K293" s="10">
        <f t="shared" si="1"/>
        <v>0.01821186124</v>
      </c>
      <c r="L293" s="10">
        <f t="shared" si="2"/>
        <v>1.329648876</v>
      </c>
      <c r="M293" s="10">
        <f t="shared" si="3"/>
        <v>40.11483051</v>
      </c>
      <c r="N293" s="10">
        <f t="shared" si="4"/>
        <v>0.615347889</v>
      </c>
      <c r="O293" s="10">
        <f t="shared" si="5"/>
        <v>-1820.77</v>
      </c>
      <c r="P293" s="10">
        <f t="shared" si="6"/>
        <v>-62.50969864</v>
      </c>
      <c r="Q293" s="10">
        <f t="shared" si="7"/>
        <v>2025</v>
      </c>
      <c r="R293" s="10">
        <f t="shared" si="8"/>
        <v>1</v>
      </c>
      <c r="S293" s="10" t="str">
        <f t="shared" si="9"/>
        <v>2025-01</v>
      </c>
    </row>
    <row r="294" ht="14.25" customHeight="1">
      <c r="A294" s="7" t="s">
        <v>320</v>
      </c>
      <c r="B294" s="8">
        <v>45791.0</v>
      </c>
      <c r="C294" s="7" t="s">
        <v>23</v>
      </c>
      <c r="D294" s="7" t="s">
        <v>24</v>
      </c>
      <c r="E294" s="9">
        <v>8011.81</v>
      </c>
      <c r="F294" s="9">
        <v>7993.2</v>
      </c>
      <c r="G294" s="9">
        <v>161797.0</v>
      </c>
      <c r="H294" s="9">
        <v>6944.0</v>
      </c>
      <c r="I294" s="9">
        <v>396.0</v>
      </c>
      <c r="J294" s="9">
        <v>8241.9</v>
      </c>
      <c r="K294" s="10">
        <f t="shared" si="1"/>
        <v>0.04291797747</v>
      </c>
      <c r="L294" s="10">
        <f t="shared" si="2"/>
        <v>1.15109447</v>
      </c>
      <c r="M294" s="10">
        <f t="shared" si="3"/>
        <v>20.18484848</v>
      </c>
      <c r="N294" s="10">
        <f t="shared" si="4"/>
        <v>1.031113947</v>
      </c>
      <c r="O294" s="10">
        <f t="shared" si="5"/>
        <v>248.7</v>
      </c>
      <c r="P294" s="10">
        <f t="shared" si="6"/>
        <v>3.017508099</v>
      </c>
      <c r="Q294" s="10">
        <f t="shared" si="7"/>
        <v>2025</v>
      </c>
      <c r="R294" s="10">
        <f t="shared" si="8"/>
        <v>5</v>
      </c>
      <c r="S294" s="10" t="str">
        <f t="shared" si="9"/>
        <v>2025-05</v>
      </c>
    </row>
    <row r="295" ht="14.25" customHeight="1">
      <c r="A295" s="7" t="s">
        <v>321</v>
      </c>
      <c r="B295" s="8">
        <v>45789.0</v>
      </c>
      <c r="C295" s="7" t="s">
        <v>23</v>
      </c>
      <c r="D295" s="7" t="s">
        <v>21</v>
      </c>
      <c r="E295" s="9">
        <v>4553.81</v>
      </c>
      <c r="F295" s="9">
        <v>3958.73</v>
      </c>
      <c r="G295" s="9">
        <v>191829.0</v>
      </c>
      <c r="H295" s="9">
        <v>3686.0</v>
      </c>
      <c r="I295" s="9">
        <v>217.0</v>
      </c>
      <c r="J295" s="9">
        <v>8714.02</v>
      </c>
      <c r="K295" s="10">
        <f t="shared" si="1"/>
        <v>0.01921503005</v>
      </c>
      <c r="L295" s="10">
        <f t="shared" si="2"/>
        <v>1.073990776</v>
      </c>
      <c r="M295" s="10">
        <f t="shared" si="3"/>
        <v>18.24299539</v>
      </c>
      <c r="N295" s="10">
        <f t="shared" si="4"/>
        <v>2.201216047</v>
      </c>
      <c r="O295" s="10">
        <f t="shared" si="5"/>
        <v>4755.29</v>
      </c>
      <c r="P295" s="10">
        <f t="shared" si="6"/>
        <v>54.57056559</v>
      </c>
      <c r="Q295" s="10">
        <f t="shared" si="7"/>
        <v>2025</v>
      </c>
      <c r="R295" s="10">
        <f t="shared" si="8"/>
        <v>5</v>
      </c>
      <c r="S295" s="10" t="str">
        <f t="shared" si="9"/>
        <v>2025-05</v>
      </c>
    </row>
    <row r="296" ht="14.25" customHeight="1">
      <c r="A296" s="7" t="s">
        <v>322</v>
      </c>
      <c r="B296" s="8">
        <v>45735.0</v>
      </c>
      <c r="C296" s="7" t="s">
        <v>20</v>
      </c>
      <c r="D296" s="7" t="s">
        <v>29</v>
      </c>
      <c r="E296" s="9">
        <v>3137.97</v>
      </c>
      <c r="F296" s="9">
        <v>2608.38</v>
      </c>
      <c r="G296" s="9">
        <v>54030.0</v>
      </c>
      <c r="H296" s="9">
        <v>2101.0</v>
      </c>
      <c r="I296" s="9">
        <v>226.0</v>
      </c>
      <c r="J296" s="9">
        <v>9943.43</v>
      </c>
      <c r="K296" s="10">
        <f t="shared" si="1"/>
        <v>0.03888580418</v>
      </c>
      <c r="L296" s="10">
        <f t="shared" si="2"/>
        <v>1.241494526</v>
      </c>
      <c r="M296" s="10">
        <f t="shared" si="3"/>
        <v>11.54150442</v>
      </c>
      <c r="N296" s="10">
        <f t="shared" si="4"/>
        <v>3.812109432</v>
      </c>
      <c r="O296" s="10">
        <f t="shared" si="5"/>
        <v>7335.05</v>
      </c>
      <c r="P296" s="10">
        <f t="shared" si="6"/>
        <v>73.76780447</v>
      </c>
      <c r="Q296" s="10">
        <f t="shared" si="7"/>
        <v>2025</v>
      </c>
      <c r="R296" s="10">
        <f t="shared" si="8"/>
        <v>3</v>
      </c>
      <c r="S296" s="10" t="str">
        <f t="shared" si="9"/>
        <v>2025-03</v>
      </c>
    </row>
    <row r="297" ht="14.25" customHeight="1">
      <c r="A297" s="7" t="s">
        <v>323</v>
      </c>
      <c r="B297" s="8">
        <v>45814.0</v>
      </c>
      <c r="C297" s="7" t="s">
        <v>23</v>
      </c>
      <c r="D297" s="7" t="s">
        <v>26</v>
      </c>
      <c r="E297" s="9">
        <v>4249.81</v>
      </c>
      <c r="F297" s="9">
        <v>4232.06</v>
      </c>
      <c r="G297" s="9">
        <v>134964.0</v>
      </c>
      <c r="H297" s="9">
        <v>2504.0</v>
      </c>
      <c r="I297" s="9">
        <v>293.0</v>
      </c>
      <c r="J297" s="9">
        <v>7953.63</v>
      </c>
      <c r="K297" s="10">
        <f t="shared" si="1"/>
        <v>0.01855309564</v>
      </c>
      <c r="L297" s="10">
        <f t="shared" si="2"/>
        <v>1.690119808</v>
      </c>
      <c r="M297" s="10">
        <f t="shared" si="3"/>
        <v>14.44389078</v>
      </c>
      <c r="N297" s="10">
        <f t="shared" si="4"/>
        <v>1.879375529</v>
      </c>
      <c r="O297" s="10">
        <f t="shared" si="5"/>
        <v>3721.57</v>
      </c>
      <c r="P297" s="10">
        <f t="shared" si="6"/>
        <v>46.79083639</v>
      </c>
      <c r="Q297" s="10">
        <f t="shared" si="7"/>
        <v>2025</v>
      </c>
      <c r="R297" s="10">
        <f t="shared" si="8"/>
        <v>6</v>
      </c>
      <c r="S297" s="10" t="str">
        <f t="shared" si="9"/>
        <v>2025-06</v>
      </c>
    </row>
    <row r="298" ht="14.25" customHeight="1">
      <c r="A298" s="7" t="s">
        <v>324</v>
      </c>
      <c r="B298" s="8">
        <v>45702.0</v>
      </c>
      <c r="C298" s="7" t="s">
        <v>31</v>
      </c>
      <c r="D298" s="7" t="s">
        <v>26</v>
      </c>
      <c r="E298" s="9">
        <v>3696.09</v>
      </c>
      <c r="F298" s="9">
        <v>3226.51</v>
      </c>
      <c r="G298" s="9">
        <v>99410.0</v>
      </c>
      <c r="H298" s="9">
        <v>4795.0</v>
      </c>
      <c r="I298" s="9">
        <v>100.0</v>
      </c>
      <c r="J298" s="9">
        <v>4166.8</v>
      </c>
      <c r="K298" s="10">
        <f t="shared" si="1"/>
        <v>0.04823458405</v>
      </c>
      <c r="L298" s="10">
        <f t="shared" si="2"/>
        <v>0.6728905109</v>
      </c>
      <c r="M298" s="10">
        <f t="shared" si="3"/>
        <v>32.2651</v>
      </c>
      <c r="N298" s="10">
        <f t="shared" si="4"/>
        <v>1.29142634</v>
      </c>
      <c r="O298" s="10">
        <f t="shared" si="5"/>
        <v>940.29</v>
      </c>
      <c r="P298" s="10">
        <f t="shared" si="6"/>
        <v>22.56623788</v>
      </c>
      <c r="Q298" s="10">
        <f t="shared" si="7"/>
        <v>2025</v>
      </c>
      <c r="R298" s="10">
        <f t="shared" si="8"/>
        <v>2</v>
      </c>
      <c r="S298" s="10" t="str">
        <f t="shared" si="9"/>
        <v>2025-02</v>
      </c>
    </row>
    <row r="299" ht="14.25" customHeight="1">
      <c r="A299" s="7" t="s">
        <v>325</v>
      </c>
      <c r="B299" s="8">
        <v>45655.0</v>
      </c>
      <c r="C299" s="7" t="s">
        <v>20</v>
      </c>
      <c r="D299" s="7" t="s">
        <v>24</v>
      </c>
      <c r="E299" s="9">
        <v>8989.88</v>
      </c>
      <c r="F299" s="9">
        <v>9430.98</v>
      </c>
      <c r="G299" s="9">
        <v>152642.0</v>
      </c>
      <c r="H299" s="9">
        <v>2474.0</v>
      </c>
      <c r="I299" s="9">
        <v>292.0</v>
      </c>
      <c r="J299" s="9">
        <v>9319.33</v>
      </c>
      <c r="K299" s="10">
        <f t="shared" si="1"/>
        <v>0.01620785891</v>
      </c>
      <c r="L299" s="10">
        <f t="shared" si="2"/>
        <v>3.812037187</v>
      </c>
      <c r="M299" s="10">
        <f t="shared" si="3"/>
        <v>32.29787671</v>
      </c>
      <c r="N299" s="10">
        <f t="shared" si="4"/>
        <v>0.9881613576</v>
      </c>
      <c r="O299" s="10">
        <f t="shared" si="5"/>
        <v>-111.65</v>
      </c>
      <c r="P299" s="10">
        <f t="shared" si="6"/>
        <v>-1.198047499</v>
      </c>
      <c r="Q299" s="10">
        <f t="shared" si="7"/>
        <v>2024</v>
      </c>
      <c r="R299" s="10">
        <f t="shared" si="8"/>
        <v>12</v>
      </c>
      <c r="S299" s="10" t="str">
        <f t="shared" si="9"/>
        <v>2024-12</v>
      </c>
    </row>
    <row r="300" ht="14.25" customHeight="1">
      <c r="A300" s="7" t="s">
        <v>326</v>
      </c>
      <c r="B300" s="8">
        <v>45756.0</v>
      </c>
      <c r="C300" s="7" t="s">
        <v>28</v>
      </c>
      <c r="D300" s="7" t="s">
        <v>21</v>
      </c>
      <c r="E300" s="9">
        <v>7676.6</v>
      </c>
      <c r="F300" s="9">
        <v>6613.35</v>
      </c>
      <c r="G300" s="9">
        <v>111235.0</v>
      </c>
      <c r="H300" s="9">
        <v>4808.0</v>
      </c>
      <c r="I300" s="9">
        <v>370.0</v>
      </c>
      <c r="J300" s="9">
        <v>10653.94</v>
      </c>
      <c r="K300" s="10">
        <f t="shared" si="1"/>
        <v>0.04322380546</v>
      </c>
      <c r="L300" s="10">
        <f t="shared" si="2"/>
        <v>1.375488769</v>
      </c>
      <c r="M300" s="10">
        <f t="shared" si="3"/>
        <v>17.87391892</v>
      </c>
      <c r="N300" s="10">
        <f t="shared" si="4"/>
        <v>1.610974771</v>
      </c>
      <c r="O300" s="10">
        <f t="shared" si="5"/>
        <v>4040.59</v>
      </c>
      <c r="P300" s="10">
        <f t="shared" si="6"/>
        <v>37.92578145</v>
      </c>
      <c r="Q300" s="10">
        <f t="shared" si="7"/>
        <v>2025</v>
      </c>
      <c r="R300" s="10">
        <f t="shared" si="8"/>
        <v>4</v>
      </c>
      <c r="S300" s="10" t="str">
        <f t="shared" si="9"/>
        <v>2025-04</v>
      </c>
    </row>
    <row r="301" ht="14.25" customHeight="1">
      <c r="A301" s="7" t="s">
        <v>327</v>
      </c>
      <c r="B301" s="8">
        <v>45718.0</v>
      </c>
      <c r="C301" s="7" t="s">
        <v>31</v>
      </c>
      <c r="D301" s="7" t="s">
        <v>21</v>
      </c>
      <c r="E301" s="9">
        <v>9274.35</v>
      </c>
      <c r="F301" s="9">
        <v>7455.66</v>
      </c>
      <c r="G301" s="9">
        <v>195593.0</v>
      </c>
      <c r="H301" s="9">
        <v>5136.0</v>
      </c>
      <c r="I301" s="9">
        <v>798.0</v>
      </c>
      <c r="J301" s="9">
        <v>18007.07</v>
      </c>
      <c r="K301" s="10">
        <f t="shared" si="1"/>
        <v>0.02625860844</v>
      </c>
      <c r="L301" s="10">
        <f t="shared" si="2"/>
        <v>1.451647196</v>
      </c>
      <c r="M301" s="10">
        <f t="shared" si="3"/>
        <v>9.342932331</v>
      </c>
      <c r="N301" s="10">
        <f t="shared" si="4"/>
        <v>2.415221456</v>
      </c>
      <c r="O301" s="10">
        <f t="shared" si="5"/>
        <v>10551.41</v>
      </c>
      <c r="P301" s="10">
        <f t="shared" si="6"/>
        <v>58.59592927</v>
      </c>
      <c r="Q301" s="10">
        <f t="shared" si="7"/>
        <v>2025</v>
      </c>
      <c r="R301" s="10">
        <f t="shared" si="8"/>
        <v>3</v>
      </c>
      <c r="S301" s="10" t="str">
        <f t="shared" si="9"/>
        <v>2025-03</v>
      </c>
    </row>
    <row r="302" ht="14.25" customHeight="1">
      <c r="A302" s="7" t="s">
        <v>328</v>
      </c>
      <c r="B302" s="8">
        <v>45789.0</v>
      </c>
      <c r="C302" s="7" t="s">
        <v>31</v>
      </c>
      <c r="D302" s="7" t="s">
        <v>26</v>
      </c>
      <c r="E302" s="9">
        <v>4455.2</v>
      </c>
      <c r="F302" s="9">
        <v>3599.62</v>
      </c>
      <c r="G302" s="9">
        <v>191906.0</v>
      </c>
      <c r="H302" s="9">
        <v>3380.0</v>
      </c>
      <c r="I302" s="9">
        <v>512.0</v>
      </c>
      <c r="J302" s="9">
        <v>13026.85</v>
      </c>
      <c r="K302" s="10">
        <f t="shared" si="1"/>
        <v>0.01761278959</v>
      </c>
      <c r="L302" s="10">
        <f t="shared" si="2"/>
        <v>1.064976331</v>
      </c>
      <c r="M302" s="10">
        <f t="shared" si="3"/>
        <v>7.030507813</v>
      </c>
      <c r="N302" s="10">
        <f t="shared" si="4"/>
        <v>3.618951445</v>
      </c>
      <c r="O302" s="10">
        <f t="shared" si="5"/>
        <v>9427.23</v>
      </c>
      <c r="P302" s="10">
        <f t="shared" si="6"/>
        <v>72.36768674</v>
      </c>
      <c r="Q302" s="10">
        <f t="shared" si="7"/>
        <v>2025</v>
      </c>
      <c r="R302" s="10">
        <f t="shared" si="8"/>
        <v>5</v>
      </c>
      <c r="S302" s="10" t="str">
        <f t="shared" si="9"/>
        <v>2025-05</v>
      </c>
    </row>
    <row r="303" ht="14.25" customHeight="1">
      <c r="A303" s="7" t="s">
        <v>329</v>
      </c>
      <c r="B303" s="8">
        <v>45739.0</v>
      </c>
      <c r="C303" s="7" t="s">
        <v>28</v>
      </c>
      <c r="D303" s="7" t="s">
        <v>26</v>
      </c>
      <c r="E303" s="9">
        <v>7081.29</v>
      </c>
      <c r="F303" s="9">
        <v>6560.3</v>
      </c>
      <c r="G303" s="9">
        <v>163874.0</v>
      </c>
      <c r="H303" s="9">
        <v>4357.0</v>
      </c>
      <c r="I303" s="9">
        <v>137.0</v>
      </c>
      <c r="J303" s="9">
        <v>6408.88</v>
      </c>
      <c r="K303" s="10">
        <f t="shared" si="1"/>
        <v>0.02658750015</v>
      </c>
      <c r="L303" s="10">
        <f t="shared" si="2"/>
        <v>1.50569199</v>
      </c>
      <c r="M303" s="10">
        <f t="shared" si="3"/>
        <v>47.88540146</v>
      </c>
      <c r="N303" s="10">
        <f t="shared" si="4"/>
        <v>0.9769187385</v>
      </c>
      <c r="O303" s="10">
        <f t="shared" si="5"/>
        <v>-151.42</v>
      </c>
      <c r="P303" s="10">
        <f t="shared" si="6"/>
        <v>-2.36265931</v>
      </c>
      <c r="Q303" s="10">
        <f t="shared" si="7"/>
        <v>2025</v>
      </c>
      <c r="R303" s="10">
        <f t="shared" si="8"/>
        <v>3</v>
      </c>
      <c r="S303" s="10" t="str">
        <f t="shared" si="9"/>
        <v>2025-03</v>
      </c>
    </row>
    <row r="304" ht="14.25" customHeight="1">
      <c r="A304" s="7" t="s">
        <v>330</v>
      </c>
      <c r="B304" s="8">
        <v>45759.0</v>
      </c>
      <c r="C304" s="7" t="s">
        <v>20</v>
      </c>
      <c r="D304" s="7" t="s">
        <v>29</v>
      </c>
      <c r="E304" s="9">
        <v>8722.1</v>
      </c>
      <c r="F304" s="9">
        <v>7872.09</v>
      </c>
      <c r="G304" s="9">
        <v>173144.0</v>
      </c>
      <c r="H304" s="9">
        <v>7537.0</v>
      </c>
      <c r="I304" s="9">
        <v>1161.0</v>
      </c>
      <c r="J304" s="9">
        <v>32255.72</v>
      </c>
      <c r="K304" s="10">
        <f t="shared" si="1"/>
        <v>0.04353024072</v>
      </c>
      <c r="L304" s="10">
        <f t="shared" si="2"/>
        <v>1.044459334</v>
      </c>
      <c r="M304" s="10">
        <f t="shared" si="3"/>
        <v>6.780439276</v>
      </c>
      <c r="N304" s="10">
        <f t="shared" si="4"/>
        <v>4.09747856</v>
      </c>
      <c r="O304" s="10">
        <f t="shared" si="5"/>
        <v>24383.63</v>
      </c>
      <c r="P304" s="10">
        <f t="shared" si="6"/>
        <v>75.59474723</v>
      </c>
      <c r="Q304" s="10">
        <f t="shared" si="7"/>
        <v>2025</v>
      </c>
      <c r="R304" s="10">
        <f t="shared" si="8"/>
        <v>4</v>
      </c>
      <c r="S304" s="10" t="str">
        <f t="shared" si="9"/>
        <v>2025-04</v>
      </c>
    </row>
    <row r="305" ht="14.25" customHeight="1">
      <c r="A305" s="7" t="s">
        <v>331</v>
      </c>
      <c r="B305" s="8">
        <v>45675.0</v>
      </c>
      <c r="C305" s="7" t="s">
        <v>33</v>
      </c>
      <c r="D305" s="7" t="s">
        <v>21</v>
      </c>
      <c r="E305" s="9">
        <v>5657.85</v>
      </c>
      <c r="F305" s="9">
        <v>5528.22</v>
      </c>
      <c r="G305" s="9">
        <v>131078.0</v>
      </c>
      <c r="H305" s="9">
        <v>4550.0</v>
      </c>
      <c r="I305" s="9">
        <v>114.0</v>
      </c>
      <c r="J305" s="9">
        <v>3196.78</v>
      </c>
      <c r="K305" s="10">
        <f t="shared" si="1"/>
        <v>0.03471215612</v>
      </c>
      <c r="L305" s="10">
        <f t="shared" si="2"/>
        <v>1.214993407</v>
      </c>
      <c r="M305" s="10">
        <f t="shared" si="3"/>
        <v>48.49315789</v>
      </c>
      <c r="N305" s="10">
        <f t="shared" si="4"/>
        <v>0.5782656985</v>
      </c>
      <c r="O305" s="10">
        <f t="shared" si="5"/>
        <v>-2331.44</v>
      </c>
      <c r="P305" s="10">
        <f t="shared" si="6"/>
        <v>-72.9308867</v>
      </c>
      <c r="Q305" s="10">
        <f t="shared" si="7"/>
        <v>2025</v>
      </c>
      <c r="R305" s="10">
        <f t="shared" si="8"/>
        <v>1</v>
      </c>
      <c r="S305" s="10" t="str">
        <f t="shared" si="9"/>
        <v>2025-01</v>
      </c>
    </row>
    <row r="306" ht="14.25" customHeight="1">
      <c r="A306" s="7" t="s">
        <v>332</v>
      </c>
      <c r="B306" s="8">
        <v>45745.0</v>
      </c>
      <c r="C306" s="7" t="s">
        <v>23</v>
      </c>
      <c r="D306" s="7" t="s">
        <v>29</v>
      </c>
      <c r="E306" s="9">
        <v>7369.04</v>
      </c>
      <c r="F306" s="9">
        <v>6800.32</v>
      </c>
      <c r="G306" s="9">
        <v>171377.0</v>
      </c>
      <c r="H306" s="9">
        <v>4129.0</v>
      </c>
      <c r="I306" s="9">
        <v>453.0</v>
      </c>
      <c r="J306" s="9">
        <v>16562.32</v>
      </c>
      <c r="K306" s="10">
        <f t="shared" si="1"/>
        <v>0.02409308134</v>
      </c>
      <c r="L306" s="10">
        <f t="shared" si="2"/>
        <v>1.646965367</v>
      </c>
      <c r="M306" s="10">
        <f t="shared" si="3"/>
        <v>15.01174393</v>
      </c>
      <c r="N306" s="10">
        <f t="shared" si="4"/>
        <v>2.435520681</v>
      </c>
      <c r="O306" s="10">
        <f t="shared" si="5"/>
        <v>9762</v>
      </c>
      <c r="P306" s="10">
        <f t="shared" si="6"/>
        <v>58.94101793</v>
      </c>
      <c r="Q306" s="10">
        <f t="shared" si="7"/>
        <v>2025</v>
      </c>
      <c r="R306" s="10">
        <f t="shared" si="8"/>
        <v>3</v>
      </c>
      <c r="S306" s="10" t="str">
        <f t="shared" si="9"/>
        <v>2025-03</v>
      </c>
    </row>
    <row r="307" ht="14.25" customHeight="1">
      <c r="A307" s="7" t="s">
        <v>333</v>
      </c>
      <c r="B307" s="8">
        <v>45769.0</v>
      </c>
      <c r="C307" s="7" t="s">
        <v>31</v>
      </c>
      <c r="D307" s="7" t="s">
        <v>24</v>
      </c>
      <c r="E307" s="9">
        <v>6052.89</v>
      </c>
      <c r="F307" s="9">
        <v>5377.02</v>
      </c>
      <c r="G307" s="9">
        <v>118229.0</v>
      </c>
      <c r="H307" s="9">
        <v>1135.0</v>
      </c>
      <c r="I307" s="9">
        <v>149.0</v>
      </c>
      <c r="J307" s="9">
        <v>7219.59</v>
      </c>
      <c r="K307" s="10">
        <f t="shared" si="1"/>
        <v>0.009600013533</v>
      </c>
      <c r="L307" s="10">
        <f t="shared" si="2"/>
        <v>4.737462555</v>
      </c>
      <c r="M307" s="10">
        <f t="shared" si="3"/>
        <v>36.08738255</v>
      </c>
      <c r="N307" s="10">
        <f t="shared" si="4"/>
        <v>1.342674939</v>
      </c>
      <c r="O307" s="10">
        <f t="shared" si="5"/>
        <v>1842.57</v>
      </c>
      <c r="P307" s="10">
        <f t="shared" si="6"/>
        <v>25.52180941</v>
      </c>
      <c r="Q307" s="10">
        <f t="shared" si="7"/>
        <v>2025</v>
      </c>
      <c r="R307" s="10">
        <f t="shared" si="8"/>
        <v>4</v>
      </c>
      <c r="S307" s="10" t="str">
        <f t="shared" si="9"/>
        <v>2025-04</v>
      </c>
    </row>
    <row r="308" ht="14.25" customHeight="1">
      <c r="A308" s="7" t="s">
        <v>334</v>
      </c>
      <c r="B308" s="8">
        <v>45756.0</v>
      </c>
      <c r="C308" s="7" t="s">
        <v>31</v>
      </c>
      <c r="D308" s="7" t="s">
        <v>21</v>
      </c>
      <c r="E308" s="9">
        <v>8345.24</v>
      </c>
      <c r="F308" s="9">
        <v>7026.98</v>
      </c>
      <c r="G308" s="9">
        <v>93966.0</v>
      </c>
      <c r="H308" s="9">
        <v>2601.0</v>
      </c>
      <c r="I308" s="9">
        <v>324.0</v>
      </c>
      <c r="J308" s="9">
        <v>14921.51</v>
      </c>
      <c r="K308" s="10">
        <f t="shared" si="1"/>
        <v>0.02768022476</v>
      </c>
      <c r="L308" s="10">
        <f t="shared" si="2"/>
        <v>2.701645521</v>
      </c>
      <c r="M308" s="10">
        <f t="shared" si="3"/>
        <v>21.68820988</v>
      </c>
      <c r="N308" s="10">
        <f t="shared" si="4"/>
        <v>2.123459865</v>
      </c>
      <c r="O308" s="10">
        <f t="shared" si="5"/>
        <v>7894.53</v>
      </c>
      <c r="P308" s="10">
        <f t="shared" si="6"/>
        <v>52.90704493</v>
      </c>
      <c r="Q308" s="10">
        <f t="shared" si="7"/>
        <v>2025</v>
      </c>
      <c r="R308" s="10">
        <f t="shared" si="8"/>
        <v>4</v>
      </c>
      <c r="S308" s="10" t="str">
        <f t="shared" si="9"/>
        <v>2025-04</v>
      </c>
    </row>
    <row r="309" ht="14.25" customHeight="1">
      <c r="A309" s="7" t="s">
        <v>335</v>
      </c>
      <c r="B309" s="8">
        <v>45714.0</v>
      </c>
      <c r="C309" s="7" t="s">
        <v>31</v>
      </c>
      <c r="D309" s="7" t="s">
        <v>21</v>
      </c>
      <c r="E309" s="9">
        <v>6412.02</v>
      </c>
      <c r="F309" s="9">
        <v>6850.38</v>
      </c>
      <c r="G309" s="9">
        <v>180247.0</v>
      </c>
      <c r="H309" s="9">
        <v>6040.0</v>
      </c>
      <c r="I309" s="9">
        <v>1020.0</v>
      </c>
      <c r="J309" s="9">
        <v>44875.57</v>
      </c>
      <c r="K309" s="10">
        <f t="shared" si="1"/>
        <v>0.03350957297</v>
      </c>
      <c r="L309" s="10">
        <f t="shared" si="2"/>
        <v>1.134168874</v>
      </c>
      <c r="M309" s="10">
        <f t="shared" si="3"/>
        <v>6.716058824</v>
      </c>
      <c r="N309" s="10">
        <f t="shared" si="4"/>
        <v>6.550814699</v>
      </c>
      <c r="O309" s="10">
        <f t="shared" si="5"/>
        <v>38025.19</v>
      </c>
      <c r="P309" s="10">
        <f t="shared" si="6"/>
        <v>84.73472315</v>
      </c>
      <c r="Q309" s="10">
        <f t="shared" si="7"/>
        <v>2025</v>
      </c>
      <c r="R309" s="10">
        <f t="shared" si="8"/>
        <v>2</v>
      </c>
      <c r="S309" s="10" t="str">
        <f t="shared" si="9"/>
        <v>2025-02</v>
      </c>
    </row>
    <row r="310" ht="14.25" customHeight="1">
      <c r="A310" s="7" t="s">
        <v>336</v>
      </c>
      <c r="B310" s="8">
        <v>45743.0</v>
      </c>
      <c r="C310" s="7" t="s">
        <v>20</v>
      </c>
      <c r="D310" s="7" t="s">
        <v>21</v>
      </c>
      <c r="E310" s="9">
        <v>5976.49</v>
      </c>
      <c r="F310" s="9">
        <v>4821.48</v>
      </c>
      <c r="G310" s="9">
        <v>80643.0</v>
      </c>
      <c r="H310" s="9">
        <v>2915.0</v>
      </c>
      <c r="I310" s="9">
        <v>337.0</v>
      </c>
      <c r="J310" s="9">
        <v>9456.33</v>
      </c>
      <c r="K310" s="10">
        <f t="shared" si="1"/>
        <v>0.03614696874</v>
      </c>
      <c r="L310" s="10">
        <f t="shared" si="2"/>
        <v>1.654024014</v>
      </c>
      <c r="M310" s="10">
        <f t="shared" si="3"/>
        <v>14.30706231</v>
      </c>
      <c r="N310" s="10">
        <f t="shared" si="4"/>
        <v>1.961291968</v>
      </c>
      <c r="O310" s="10">
        <f t="shared" si="5"/>
        <v>4634.85</v>
      </c>
      <c r="P310" s="10">
        <f t="shared" si="6"/>
        <v>49.01320068</v>
      </c>
      <c r="Q310" s="10">
        <f t="shared" si="7"/>
        <v>2025</v>
      </c>
      <c r="R310" s="10">
        <f t="shared" si="8"/>
        <v>3</v>
      </c>
      <c r="S310" s="10" t="str">
        <f t="shared" si="9"/>
        <v>2025-03</v>
      </c>
    </row>
    <row r="311" ht="14.25" customHeight="1">
      <c r="A311" s="7" t="s">
        <v>337</v>
      </c>
      <c r="B311" s="8">
        <v>45810.0</v>
      </c>
      <c r="C311" s="7" t="s">
        <v>31</v>
      </c>
      <c r="D311" s="7" t="s">
        <v>26</v>
      </c>
      <c r="E311" s="9">
        <v>6791.44</v>
      </c>
      <c r="F311" s="9">
        <v>6723.82</v>
      </c>
      <c r="G311" s="9">
        <v>175493.0</v>
      </c>
      <c r="H311" s="9">
        <v>7200.0</v>
      </c>
      <c r="I311" s="9">
        <v>476.0</v>
      </c>
      <c r="J311" s="9">
        <v>13202.64</v>
      </c>
      <c r="K311" s="10">
        <f t="shared" si="1"/>
        <v>0.04102727744</v>
      </c>
      <c r="L311" s="10">
        <f t="shared" si="2"/>
        <v>0.9338638889</v>
      </c>
      <c r="M311" s="10">
        <f t="shared" si="3"/>
        <v>14.12567227</v>
      </c>
      <c r="N311" s="10">
        <f t="shared" si="4"/>
        <v>1.96356238</v>
      </c>
      <c r="O311" s="10">
        <f t="shared" si="5"/>
        <v>6478.82</v>
      </c>
      <c r="P311" s="10">
        <f t="shared" si="6"/>
        <v>49.07215527</v>
      </c>
      <c r="Q311" s="10">
        <f t="shared" si="7"/>
        <v>2025</v>
      </c>
      <c r="R311" s="10">
        <f t="shared" si="8"/>
        <v>6</v>
      </c>
      <c r="S311" s="10" t="str">
        <f t="shared" si="9"/>
        <v>2025-06</v>
      </c>
    </row>
    <row r="312" ht="14.25" customHeight="1">
      <c r="A312" s="7" t="s">
        <v>338</v>
      </c>
      <c r="B312" s="8">
        <v>45790.0</v>
      </c>
      <c r="C312" s="7" t="s">
        <v>28</v>
      </c>
      <c r="D312" s="7" t="s">
        <v>26</v>
      </c>
      <c r="E312" s="9">
        <v>3975.49</v>
      </c>
      <c r="F312" s="9">
        <v>4176.17</v>
      </c>
      <c r="G312" s="9">
        <v>125145.0</v>
      </c>
      <c r="H312" s="9">
        <v>1135.0</v>
      </c>
      <c r="I312" s="9">
        <v>91.0</v>
      </c>
      <c r="J312" s="9">
        <v>4507.42</v>
      </c>
      <c r="K312" s="10">
        <f t="shared" si="1"/>
        <v>0.009069479404</v>
      </c>
      <c r="L312" s="10">
        <f t="shared" si="2"/>
        <v>3.679444934</v>
      </c>
      <c r="M312" s="10">
        <f t="shared" si="3"/>
        <v>45.89197802</v>
      </c>
      <c r="N312" s="10">
        <f t="shared" si="4"/>
        <v>1.079319089</v>
      </c>
      <c r="O312" s="10">
        <f t="shared" si="5"/>
        <v>331.25</v>
      </c>
      <c r="P312" s="10">
        <f t="shared" si="6"/>
        <v>7.348993437</v>
      </c>
      <c r="Q312" s="10">
        <f t="shared" si="7"/>
        <v>2025</v>
      </c>
      <c r="R312" s="10">
        <f t="shared" si="8"/>
        <v>5</v>
      </c>
      <c r="S312" s="10" t="str">
        <f t="shared" si="9"/>
        <v>2025-05</v>
      </c>
    </row>
    <row r="313" ht="14.25" customHeight="1">
      <c r="A313" s="7" t="s">
        <v>339</v>
      </c>
      <c r="B313" s="8">
        <v>45767.0</v>
      </c>
      <c r="C313" s="7" t="s">
        <v>33</v>
      </c>
      <c r="D313" s="7" t="s">
        <v>29</v>
      </c>
      <c r="E313" s="9">
        <v>6679.83</v>
      </c>
      <c r="F313" s="9">
        <v>5687.9</v>
      </c>
      <c r="G313" s="9">
        <v>197509.0</v>
      </c>
      <c r="H313" s="9">
        <v>8448.0</v>
      </c>
      <c r="I313" s="9">
        <v>669.0</v>
      </c>
      <c r="J313" s="9">
        <v>18845.21</v>
      </c>
      <c r="K313" s="10">
        <f t="shared" si="1"/>
        <v>0.04277273441</v>
      </c>
      <c r="L313" s="10">
        <f t="shared" si="2"/>
        <v>0.6732836174</v>
      </c>
      <c r="M313" s="10">
        <f t="shared" si="3"/>
        <v>8.502092676</v>
      </c>
      <c r="N313" s="10">
        <f t="shared" si="4"/>
        <v>3.313210499</v>
      </c>
      <c r="O313" s="10">
        <f t="shared" si="5"/>
        <v>13157.31</v>
      </c>
      <c r="P313" s="10">
        <f t="shared" si="6"/>
        <v>69.81779455</v>
      </c>
      <c r="Q313" s="10">
        <f t="shared" si="7"/>
        <v>2025</v>
      </c>
      <c r="R313" s="10">
        <f t="shared" si="8"/>
        <v>4</v>
      </c>
      <c r="S313" s="10" t="str">
        <f t="shared" si="9"/>
        <v>2025-04</v>
      </c>
    </row>
    <row r="314" ht="14.25" customHeight="1">
      <c r="A314" s="7" t="s">
        <v>340</v>
      </c>
      <c r="B314" s="8">
        <v>45769.0</v>
      </c>
      <c r="C314" s="7" t="s">
        <v>28</v>
      </c>
      <c r="D314" s="7" t="s">
        <v>26</v>
      </c>
      <c r="E314" s="9">
        <v>3128.73</v>
      </c>
      <c r="F314" s="9">
        <v>3361.16</v>
      </c>
      <c r="G314" s="9">
        <v>158254.0</v>
      </c>
      <c r="H314" s="9">
        <v>1254.0</v>
      </c>
      <c r="I314" s="9">
        <v>110.0</v>
      </c>
      <c r="J314" s="9">
        <v>2588.58</v>
      </c>
      <c r="K314" s="10">
        <f t="shared" si="1"/>
        <v>0.007923970326</v>
      </c>
      <c r="L314" s="10">
        <f t="shared" si="2"/>
        <v>2.680350877</v>
      </c>
      <c r="M314" s="10">
        <f t="shared" si="3"/>
        <v>30.556</v>
      </c>
      <c r="N314" s="10">
        <f t="shared" si="4"/>
        <v>0.770144831</v>
      </c>
      <c r="O314" s="10">
        <f t="shared" si="5"/>
        <v>-772.58</v>
      </c>
      <c r="P314" s="10">
        <f t="shared" si="6"/>
        <v>-29.84570691</v>
      </c>
      <c r="Q314" s="10">
        <f t="shared" si="7"/>
        <v>2025</v>
      </c>
      <c r="R314" s="10">
        <f t="shared" si="8"/>
        <v>4</v>
      </c>
      <c r="S314" s="10" t="str">
        <f t="shared" si="9"/>
        <v>2025-04</v>
      </c>
    </row>
    <row r="315" ht="14.25" customHeight="1">
      <c r="A315" s="7" t="s">
        <v>341</v>
      </c>
      <c r="B315" s="8">
        <v>45685.0</v>
      </c>
      <c r="C315" s="7" t="s">
        <v>33</v>
      </c>
      <c r="D315" s="7" t="s">
        <v>26</v>
      </c>
      <c r="E315" s="9">
        <v>7035.62</v>
      </c>
      <c r="F315" s="9">
        <v>6206.94</v>
      </c>
      <c r="G315" s="9">
        <v>50360.0</v>
      </c>
      <c r="H315" s="9">
        <v>1689.0</v>
      </c>
      <c r="I315" s="9">
        <v>308.0</v>
      </c>
      <c r="J315" s="9">
        <v>11280.6</v>
      </c>
      <c r="K315" s="10">
        <f t="shared" si="1"/>
        <v>0.03353852264</v>
      </c>
      <c r="L315" s="10">
        <f t="shared" si="2"/>
        <v>3.674920071</v>
      </c>
      <c r="M315" s="10">
        <f t="shared" si="3"/>
        <v>20.1524026</v>
      </c>
      <c r="N315" s="10">
        <f t="shared" si="4"/>
        <v>1.817417278</v>
      </c>
      <c r="O315" s="10">
        <f t="shared" si="5"/>
        <v>5073.66</v>
      </c>
      <c r="P315" s="10">
        <f t="shared" si="6"/>
        <v>44.97686293</v>
      </c>
      <c r="Q315" s="10">
        <f t="shared" si="7"/>
        <v>2025</v>
      </c>
      <c r="R315" s="10">
        <f t="shared" si="8"/>
        <v>1</v>
      </c>
      <c r="S315" s="10" t="str">
        <f t="shared" si="9"/>
        <v>2025-01</v>
      </c>
    </row>
    <row r="316" ht="14.25" customHeight="1">
      <c r="A316" s="7" t="s">
        <v>342</v>
      </c>
      <c r="B316" s="8">
        <v>45783.0</v>
      </c>
      <c r="C316" s="7" t="s">
        <v>28</v>
      </c>
      <c r="D316" s="7" t="s">
        <v>21</v>
      </c>
      <c r="E316" s="9">
        <v>7559.94</v>
      </c>
      <c r="F316" s="9">
        <v>7929.79</v>
      </c>
      <c r="G316" s="9">
        <v>98472.0</v>
      </c>
      <c r="H316" s="9">
        <v>4803.0</v>
      </c>
      <c r="I316" s="9">
        <v>235.0</v>
      </c>
      <c r="J316" s="9">
        <v>6155.27</v>
      </c>
      <c r="K316" s="10">
        <f t="shared" si="1"/>
        <v>0.04877528638</v>
      </c>
      <c r="L316" s="10">
        <f t="shared" si="2"/>
        <v>1.651007704</v>
      </c>
      <c r="M316" s="10">
        <f t="shared" si="3"/>
        <v>33.74378723</v>
      </c>
      <c r="N316" s="10">
        <f t="shared" si="4"/>
        <v>0.7762210601</v>
      </c>
      <c r="O316" s="10">
        <f t="shared" si="5"/>
        <v>-1774.52</v>
      </c>
      <c r="P316" s="10">
        <f t="shared" si="6"/>
        <v>-28.82927963</v>
      </c>
      <c r="Q316" s="10">
        <f t="shared" si="7"/>
        <v>2025</v>
      </c>
      <c r="R316" s="10">
        <f t="shared" si="8"/>
        <v>5</v>
      </c>
      <c r="S316" s="10" t="str">
        <f t="shared" si="9"/>
        <v>2025-05</v>
      </c>
    </row>
    <row r="317" ht="14.25" customHeight="1">
      <c r="A317" s="7" t="s">
        <v>343</v>
      </c>
      <c r="B317" s="8">
        <v>45755.0</v>
      </c>
      <c r="C317" s="7" t="s">
        <v>23</v>
      </c>
      <c r="D317" s="7" t="s">
        <v>24</v>
      </c>
      <c r="E317" s="9">
        <v>3076.97</v>
      </c>
      <c r="F317" s="9">
        <v>2587.93</v>
      </c>
      <c r="G317" s="9">
        <v>154581.0</v>
      </c>
      <c r="H317" s="9">
        <v>6093.0</v>
      </c>
      <c r="I317" s="9">
        <v>236.0</v>
      </c>
      <c r="J317" s="9">
        <v>11092.13</v>
      </c>
      <c r="K317" s="10">
        <f t="shared" si="1"/>
        <v>0.03941622839</v>
      </c>
      <c r="L317" s="10">
        <f t="shared" si="2"/>
        <v>0.4247382242</v>
      </c>
      <c r="M317" s="10">
        <f t="shared" si="3"/>
        <v>10.96580508</v>
      </c>
      <c r="N317" s="10">
        <f t="shared" si="4"/>
        <v>4.286101247</v>
      </c>
      <c r="O317" s="10">
        <f t="shared" si="5"/>
        <v>8504.2</v>
      </c>
      <c r="P317" s="10">
        <f t="shared" si="6"/>
        <v>76.66877327</v>
      </c>
      <c r="Q317" s="10">
        <f t="shared" si="7"/>
        <v>2025</v>
      </c>
      <c r="R317" s="10">
        <f t="shared" si="8"/>
        <v>4</v>
      </c>
      <c r="S317" s="10" t="str">
        <f t="shared" si="9"/>
        <v>2025-04</v>
      </c>
    </row>
    <row r="318" ht="14.25" customHeight="1">
      <c r="A318" s="7" t="s">
        <v>344</v>
      </c>
      <c r="B318" s="8">
        <v>45686.0</v>
      </c>
      <c r="C318" s="7" t="s">
        <v>31</v>
      </c>
      <c r="D318" s="7" t="s">
        <v>24</v>
      </c>
      <c r="E318" s="9">
        <v>9117.23</v>
      </c>
      <c r="F318" s="9">
        <v>8927.81</v>
      </c>
      <c r="G318" s="9">
        <v>68618.0</v>
      </c>
      <c r="H318" s="9">
        <v>3036.0</v>
      </c>
      <c r="I318" s="9">
        <v>196.0</v>
      </c>
      <c r="J318" s="9">
        <v>7451.04</v>
      </c>
      <c r="K318" s="10">
        <f t="shared" si="1"/>
        <v>0.0442449503</v>
      </c>
      <c r="L318" s="10">
        <f t="shared" si="2"/>
        <v>2.94064888</v>
      </c>
      <c r="M318" s="10">
        <f t="shared" si="3"/>
        <v>45.55005102</v>
      </c>
      <c r="N318" s="10">
        <f t="shared" si="4"/>
        <v>0.8345876536</v>
      </c>
      <c r="O318" s="10">
        <f t="shared" si="5"/>
        <v>-1476.77</v>
      </c>
      <c r="P318" s="10">
        <f t="shared" si="6"/>
        <v>-19.81964934</v>
      </c>
      <c r="Q318" s="10">
        <f t="shared" si="7"/>
        <v>2025</v>
      </c>
      <c r="R318" s="10">
        <f t="shared" si="8"/>
        <v>1</v>
      </c>
      <c r="S318" s="10" t="str">
        <f t="shared" si="9"/>
        <v>2025-01</v>
      </c>
    </row>
    <row r="319" ht="14.25" customHeight="1">
      <c r="A319" s="7" t="s">
        <v>345</v>
      </c>
      <c r="B319" s="8">
        <v>45663.0</v>
      </c>
      <c r="C319" s="7" t="s">
        <v>33</v>
      </c>
      <c r="D319" s="7" t="s">
        <v>24</v>
      </c>
      <c r="E319" s="9">
        <v>7655.26</v>
      </c>
      <c r="F319" s="9">
        <v>6526.96</v>
      </c>
      <c r="G319" s="9">
        <v>95395.0</v>
      </c>
      <c r="H319" s="9">
        <v>4443.0</v>
      </c>
      <c r="I319" s="9">
        <v>353.0</v>
      </c>
      <c r="J319" s="9">
        <v>16743.62</v>
      </c>
      <c r="K319" s="10">
        <f t="shared" si="1"/>
        <v>0.04657476807</v>
      </c>
      <c r="L319" s="10">
        <f t="shared" si="2"/>
        <v>1.469043439</v>
      </c>
      <c r="M319" s="10">
        <f t="shared" si="3"/>
        <v>18.48997167</v>
      </c>
      <c r="N319" s="10">
        <f t="shared" si="4"/>
        <v>2.565301457</v>
      </c>
      <c r="O319" s="10">
        <f t="shared" si="5"/>
        <v>10216.66</v>
      </c>
      <c r="P319" s="10">
        <f t="shared" si="6"/>
        <v>61.01822664</v>
      </c>
      <c r="Q319" s="10">
        <f t="shared" si="7"/>
        <v>2025</v>
      </c>
      <c r="R319" s="10">
        <f t="shared" si="8"/>
        <v>1</v>
      </c>
      <c r="S319" s="10" t="str">
        <f t="shared" si="9"/>
        <v>2025-01</v>
      </c>
    </row>
    <row r="320" ht="14.25" customHeight="1">
      <c r="A320" s="7" t="s">
        <v>346</v>
      </c>
      <c r="B320" s="8">
        <v>45685.0</v>
      </c>
      <c r="C320" s="7" t="s">
        <v>31</v>
      </c>
      <c r="D320" s="7" t="s">
        <v>21</v>
      </c>
      <c r="E320" s="9">
        <v>5931.39</v>
      </c>
      <c r="F320" s="9">
        <v>5426.88</v>
      </c>
      <c r="G320" s="9">
        <v>87162.0</v>
      </c>
      <c r="H320" s="9">
        <v>1775.0</v>
      </c>
      <c r="I320" s="9">
        <v>84.0</v>
      </c>
      <c r="J320" s="9">
        <v>2987.67</v>
      </c>
      <c r="K320" s="10">
        <f t="shared" si="1"/>
        <v>0.02036437897</v>
      </c>
      <c r="L320" s="10">
        <f t="shared" si="2"/>
        <v>3.057397183</v>
      </c>
      <c r="M320" s="10">
        <f t="shared" si="3"/>
        <v>64.60571429</v>
      </c>
      <c r="N320" s="10">
        <f t="shared" si="4"/>
        <v>0.5505317973</v>
      </c>
      <c r="O320" s="10">
        <f t="shared" si="5"/>
        <v>-2439.21</v>
      </c>
      <c r="P320" s="10">
        <f t="shared" si="6"/>
        <v>-81.64255088</v>
      </c>
      <c r="Q320" s="10">
        <f t="shared" si="7"/>
        <v>2025</v>
      </c>
      <c r="R320" s="10">
        <f t="shared" si="8"/>
        <v>1</v>
      </c>
      <c r="S320" s="10" t="str">
        <f t="shared" si="9"/>
        <v>2025-01</v>
      </c>
    </row>
    <row r="321" ht="14.25" customHeight="1">
      <c r="A321" s="7" t="s">
        <v>347</v>
      </c>
      <c r="B321" s="8">
        <v>45754.0</v>
      </c>
      <c r="C321" s="7" t="s">
        <v>33</v>
      </c>
      <c r="D321" s="7" t="s">
        <v>29</v>
      </c>
      <c r="E321" s="9">
        <v>3328.76</v>
      </c>
      <c r="F321" s="9">
        <v>2829.06</v>
      </c>
      <c r="G321" s="9">
        <v>54764.0</v>
      </c>
      <c r="H321" s="9">
        <v>1698.0</v>
      </c>
      <c r="I321" s="9">
        <v>278.0</v>
      </c>
      <c r="J321" s="9">
        <v>11715.2</v>
      </c>
      <c r="K321" s="10">
        <f t="shared" si="1"/>
        <v>0.03100577021</v>
      </c>
      <c r="L321" s="10">
        <f t="shared" si="2"/>
        <v>1.666113074</v>
      </c>
      <c r="M321" s="10">
        <f t="shared" si="3"/>
        <v>10.17647482</v>
      </c>
      <c r="N321" s="10">
        <f t="shared" si="4"/>
        <v>4.141022106</v>
      </c>
      <c r="O321" s="10">
        <f t="shared" si="5"/>
        <v>8886.14</v>
      </c>
      <c r="P321" s="10">
        <f t="shared" si="6"/>
        <v>75.85137258</v>
      </c>
      <c r="Q321" s="10">
        <f t="shared" si="7"/>
        <v>2025</v>
      </c>
      <c r="R321" s="10">
        <f t="shared" si="8"/>
        <v>4</v>
      </c>
      <c r="S321" s="10" t="str">
        <f t="shared" si="9"/>
        <v>2025-04</v>
      </c>
    </row>
    <row r="322" ht="14.25" customHeight="1">
      <c r="A322" s="7" t="s">
        <v>348</v>
      </c>
      <c r="B322" s="8">
        <v>45800.0</v>
      </c>
      <c r="C322" s="7" t="s">
        <v>23</v>
      </c>
      <c r="D322" s="7" t="s">
        <v>29</v>
      </c>
      <c r="E322" s="9">
        <v>3579.59</v>
      </c>
      <c r="F322" s="9">
        <v>3511.38</v>
      </c>
      <c r="G322" s="9">
        <v>141976.0</v>
      </c>
      <c r="H322" s="9">
        <v>6294.0</v>
      </c>
      <c r="I322" s="9">
        <v>311.0</v>
      </c>
      <c r="J322" s="9">
        <v>8509.11</v>
      </c>
      <c r="K322" s="10">
        <f t="shared" si="1"/>
        <v>0.0443314363</v>
      </c>
      <c r="L322" s="10">
        <f t="shared" si="2"/>
        <v>0.5578932316</v>
      </c>
      <c r="M322" s="10">
        <f t="shared" si="3"/>
        <v>11.29061093</v>
      </c>
      <c r="N322" s="10">
        <f t="shared" si="4"/>
        <v>2.423295115</v>
      </c>
      <c r="O322" s="10">
        <f t="shared" si="5"/>
        <v>4997.73</v>
      </c>
      <c r="P322" s="10">
        <f t="shared" si="6"/>
        <v>58.73387464</v>
      </c>
      <c r="Q322" s="10">
        <f t="shared" si="7"/>
        <v>2025</v>
      </c>
      <c r="R322" s="10">
        <f t="shared" si="8"/>
        <v>5</v>
      </c>
      <c r="S322" s="10" t="str">
        <f t="shared" si="9"/>
        <v>2025-05</v>
      </c>
    </row>
    <row r="323" ht="14.25" customHeight="1">
      <c r="A323" s="7" t="s">
        <v>349</v>
      </c>
      <c r="B323" s="8">
        <v>45757.0</v>
      </c>
      <c r="C323" s="7" t="s">
        <v>23</v>
      </c>
      <c r="D323" s="7" t="s">
        <v>26</v>
      </c>
      <c r="E323" s="9">
        <v>5725.07</v>
      </c>
      <c r="F323" s="9">
        <v>5075.89</v>
      </c>
      <c r="G323" s="9">
        <v>85169.0</v>
      </c>
      <c r="H323" s="9">
        <v>1524.0</v>
      </c>
      <c r="I323" s="9">
        <v>66.0</v>
      </c>
      <c r="J323" s="9">
        <v>2024.23</v>
      </c>
      <c r="K323" s="10">
        <f t="shared" si="1"/>
        <v>0.01789383461</v>
      </c>
      <c r="L323" s="10">
        <f t="shared" si="2"/>
        <v>3.330636483</v>
      </c>
      <c r="M323" s="10">
        <f t="shared" si="3"/>
        <v>76.90742424</v>
      </c>
      <c r="N323" s="10">
        <f t="shared" si="4"/>
        <v>0.3987931181</v>
      </c>
      <c r="O323" s="10">
        <f t="shared" si="5"/>
        <v>-3051.66</v>
      </c>
      <c r="P323" s="10">
        <f t="shared" si="6"/>
        <v>-150.756584</v>
      </c>
      <c r="Q323" s="10">
        <f t="shared" si="7"/>
        <v>2025</v>
      </c>
      <c r="R323" s="10">
        <f t="shared" si="8"/>
        <v>4</v>
      </c>
      <c r="S323" s="10" t="str">
        <f t="shared" si="9"/>
        <v>2025-04</v>
      </c>
    </row>
    <row r="324" ht="14.25" customHeight="1">
      <c r="A324" s="7" t="s">
        <v>350</v>
      </c>
      <c r="B324" s="8">
        <v>45760.0</v>
      </c>
      <c r="C324" s="7" t="s">
        <v>33</v>
      </c>
      <c r="D324" s="7" t="s">
        <v>29</v>
      </c>
      <c r="E324" s="9">
        <v>8033.32</v>
      </c>
      <c r="F324" s="9">
        <v>7142.72</v>
      </c>
      <c r="G324" s="9">
        <v>75206.0</v>
      </c>
      <c r="H324" s="9">
        <v>1081.0</v>
      </c>
      <c r="I324" s="9">
        <v>182.0</v>
      </c>
      <c r="J324" s="9">
        <v>6732.57</v>
      </c>
      <c r="K324" s="10">
        <f t="shared" si="1"/>
        <v>0.01437385315</v>
      </c>
      <c r="L324" s="10">
        <f t="shared" si="2"/>
        <v>6.607511563</v>
      </c>
      <c r="M324" s="10">
        <f t="shared" si="3"/>
        <v>39.24571429</v>
      </c>
      <c r="N324" s="10">
        <f t="shared" si="4"/>
        <v>0.9425778975</v>
      </c>
      <c r="O324" s="10">
        <f t="shared" si="5"/>
        <v>-410.15</v>
      </c>
      <c r="P324" s="10">
        <f t="shared" si="6"/>
        <v>-6.092027264</v>
      </c>
      <c r="Q324" s="10">
        <f t="shared" si="7"/>
        <v>2025</v>
      </c>
      <c r="R324" s="10">
        <f t="shared" si="8"/>
        <v>4</v>
      </c>
      <c r="S324" s="10" t="str">
        <f t="shared" si="9"/>
        <v>2025-04</v>
      </c>
    </row>
    <row r="325" ht="14.25" customHeight="1">
      <c r="A325" s="7" t="s">
        <v>351</v>
      </c>
      <c r="B325" s="8">
        <v>45688.0</v>
      </c>
      <c r="C325" s="7" t="s">
        <v>23</v>
      </c>
      <c r="D325" s="7" t="s">
        <v>29</v>
      </c>
      <c r="E325" s="9">
        <v>6332.35</v>
      </c>
      <c r="F325" s="9">
        <v>6326.66</v>
      </c>
      <c r="G325" s="9">
        <v>185576.0</v>
      </c>
      <c r="H325" s="9">
        <v>8158.0</v>
      </c>
      <c r="I325" s="9">
        <v>162.0</v>
      </c>
      <c r="J325" s="9">
        <v>7792.99</v>
      </c>
      <c r="K325" s="10">
        <f t="shared" si="1"/>
        <v>0.04396042592</v>
      </c>
      <c r="L325" s="10">
        <f t="shared" si="2"/>
        <v>0.7755160579</v>
      </c>
      <c r="M325" s="10">
        <f t="shared" si="3"/>
        <v>39.05345679</v>
      </c>
      <c r="N325" s="10">
        <f t="shared" si="4"/>
        <v>1.231770002</v>
      </c>
      <c r="O325" s="10">
        <f t="shared" si="5"/>
        <v>1466.33</v>
      </c>
      <c r="P325" s="10">
        <f t="shared" si="6"/>
        <v>18.81601285</v>
      </c>
      <c r="Q325" s="10">
        <f t="shared" si="7"/>
        <v>2025</v>
      </c>
      <c r="R325" s="10">
        <f t="shared" si="8"/>
        <v>1</v>
      </c>
      <c r="S325" s="10" t="str">
        <f t="shared" si="9"/>
        <v>2025-01</v>
      </c>
    </row>
    <row r="326" ht="14.25" customHeight="1">
      <c r="A326" s="7" t="s">
        <v>352</v>
      </c>
      <c r="B326" s="8">
        <v>45647.0</v>
      </c>
      <c r="C326" s="7" t="s">
        <v>23</v>
      </c>
      <c r="D326" s="7" t="s">
        <v>26</v>
      </c>
      <c r="E326" s="9">
        <v>8128.0</v>
      </c>
      <c r="F326" s="9">
        <v>7026.51</v>
      </c>
      <c r="G326" s="9">
        <v>156872.0</v>
      </c>
      <c r="H326" s="9">
        <v>6177.0</v>
      </c>
      <c r="I326" s="9">
        <v>381.0</v>
      </c>
      <c r="J326" s="9">
        <v>7976.42</v>
      </c>
      <c r="K326" s="10">
        <f t="shared" si="1"/>
        <v>0.03937605181</v>
      </c>
      <c r="L326" s="10">
        <f t="shared" si="2"/>
        <v>1.137527926</v>
      </c>
      <c r="M326" s="10">
        <f t="shared" si="3"/>
        <v>18.44228346</v>
      </c>
      <c r="N326" s="10">
        <f t="shared" si="4"/>
        <v>1.135189447</v>
      </c>
      <c r="O326" s="10">
        <f t="shared" si="5"/>
        <v>949.91</v>
      </c>
      <c r="P326" s="10">
        <f t="shared" si="6"/>
        <v>11.90897671</v>
      </c>
      <c r="Q326" s="10">
        <f t="shared" si="7"/>
        <v>2024</v>
      </c>
      <c r="R326" s="10">
        <f t="shared" si="8"/>
        <v>12</v>
      </c>
      <c r="S326" s="10" t="str">
        <f t="shared" si="9"/>
        <v>2024-12</v>
      </c>
    </row>
    <row r="327" ht="14.25" customHeight="1">
      <c r="A327" s="7" t="s">
        <v>353</v>
      </c>
      <c r="B327" s="8">
        <v>45747.0</v>
      </c>
      <c r="C327" s="7" t="s">
        <v>28</v>
      </c>
      <c r="D327" s="7" t="s">
        <v>24</v>
      </c>
      <c r="E327" s="9">
        <v>4835.85</v>
      </c>
      <c r="F327" s="9">
        <v>4731.99</v>
      </c>
      <c r="G327" s="9">
        <v>115212.0</v>
      </c>
      <c r="H327" s="9">
        <v>2331.0</v>
      </c>
      <c r="I327" s="9">
        <v>196.0</v>
      </c>
      <c r="J327" s="9">
        <v>4222.38</v>
      </c>
      <c r="K327" s="10">
        <f t="shared" si="1"/>
        <v>0.02023226747</v>
      </c>
      <c r="L327" s="10">
        <f t="shared" si="2"/>
        <v>2.03002574</v>
      </c>
      <c r="M327" s="10">
        <f t="shared" si="3"/>
        <v>24.14280612</v>
      </c>
      <c r="N327" s="10">
        <f t="shared" si="4"/>
        <v>0.8923053514</v>
      </c>
      <c r="O327" s="10">
        <f t="shared" si="5"/>
        <v>-509.61</v>
      </c>
      <c r="P327" s="10">
        <f t="shared" si="6"/>
        <v>-12.06925952</v>
      </c>
      <c r="Q327" s="10">
        <f t="shared" si="7"/>
        <v>2025</v>
      </c>
      <c r="R327" s="10">
        <f t="shared" si="8"/>
        <v>3</v>
      </c>
      <c r="S327" s="10" t="str">
        <f t="shared" si="9"/>
        <v>2025-03</v>
      </c>
    </row>
    <row r="328" ht="14.25" customHeight="1">
      <c r="A328" s="7" t="s">
        <v>354</v>
      </c>
      <c r="B328" s="8">
        <v>45711.0</v>
      </c>
      <c r="C328" s="7" t="s">
        <v>20</v>
      </c>
      <c r="D328" s="7" t="s">
        <v>29</v>
      </c>
      <c r="E328" s="9">
        <v>6474.56</v>
      </c>
      <c r="F328" s="9">
        <v>6338.94</v>
      </c>
      <c r="G328" s="9">
        <v>106540.0</v>
      </c>
      <c r="H328" s="9">
        <v>3157.0</v>
      </c>
      <c r="I328" s="9">
        <v>459.0</v>
      </c>
      <c r="J328" s="9">
        <v>13782.54</v>
      </c>
      <c r="K328" s="10">
        <f t="shared" si="1"/>
        <v>0.02963206307</v>
      </c>
      <c r="L328" s="10">
        <f t="shared" si="2"/>
        <v>2.007899905</v>
      </c>
      <c r="M328" s="10">
        <f t="shared" si="3"/>
        <v>13.8103268</v>
      </c>
      <c r="N328" s="10">
        <f t="shared" si="4"/>
        <v>2.174265729</v>
      </c>
      <c r="O328" s="10">
        <f t="shared" si="5"/>
        <v>7443.6</v>
      </c>
      <c r="P328" s="10">
        <f t="shared" si="6"/>
        <v>54.00746161</v>
      </c>
      <c r="Q328" s="10">
        <f t="shared" si="7"/>
        <v>2025</v>
      </c>
      <c r="R328" s="10">
        <f t="shared" si="8"/>
        <v>2</v>
      </c>
      <c r="S328" s="10" t="str">
        <f t="shared" si="9"/>
        <v>2025-02</v>
      </c>
    </row>
    <row r="329" ht="14.25" customHeight="1">
      <c r="A329" s="7" t="s">
        <v>355</v>
      </c>
      <c r="B329" s="8">
        <v>45640.0</v>
      </c>
      <c r="C329" s="7" t="s">
        <v>23</v>
      </c>
      <c r="D329" s="7" t="s">
        <v>24</v>
      </c>
      <c r="E329" s="9">
        <v>8396.39</v>
      </c>
      <c r="F329" s="9">
        <v>6985.62</v>
      </c>
      <c r="G329" s="9">
        <v>110667.0</v>
      </c>
      <c r="H329" s="9">
        <v>2560.0</v>
      </c>
      <c r="I329" s="9">
        <v>409.0</v>
      </c>
      <c r="J329" s="9">
        <v>9101.94</v>
      </c>
      <c r="K329" s="10">
        <f t="shared" si="1"/>
        <v>0.02313246044</v>
      </c>
      <c r="L329" s="10">
        <f t="shared" si="2"/>
        <v>2.728757813</v>
      </c>
      <c r="M329" s="10">
        <f t="shared" si="3"/>
        <v>17.0797555</v>
      </c>
      <c r="N329" s="10">
        <f t="shared" si="4"/>
        <v>1.302953782</v>
      </c>
      <c r="O329" s="10">
        <f t="shared" si="5"/>
        <v>2116.32</v>
      </c>
      <c r="P329" s="10">
        <f t="shared" si="6"/>
        <v>23.25130686</v>
      </c>
      <c r="Q329" s="10">
        <f t="shared" si="7"/>
        <v>2024</v>
      </c>
      <c r="R329" s="10">
        <f t="shared" si="8"/>
        <v>12</v>
      </c>
      <c r="S329" s="10" t="str">
        <f t="shared" si="9"/>
        <v>2024-12</v>
      </c>
    </row>
    <row r="330" ht="14.25" customHeight="1">
      <c r="A330" s="7" t="s">
        <v>356</v>
      </c>
      <c r="B330" s="8">
        <v>45798.0</v>
      </c>
      <c r="C330" s="7" t="s">
        <v>31</v>
      </c>
      <c r="D330" s="7" t="s">
        <v>26</v>
      </c>
      <c r="E330" s="9">
        <v>8097.32</v>
      </c>
      <c r="F330" s="9">
        <v>7681.5</v>
      </c>
      <c r="G330" s="9">
        <v>76558.0</v>
      </c>
      <c r="H330" s="9">
        <v>2247.0</v>
      </c>
      <c r="I330" s="9">
        <v>275.0</v>
      </c>
      <c r="J330" s="9">
        <v>11179.32</v>
      </c>
      <c r="K330" s="10">
        <f t="shared" si="1"/>
        <v>0.02935029651</v>
      </c>
      <c r="L330" s="10">
        <f t="shared" si="2"/>
        <v>3.418558077</v>
      </c>
      <c r="M330" s="10">
        <f t="shared" si="3"/>
        <v>27.93272727</v>
      </c>
      <c r="N330" s="10">
        <f t="shared" si="4"/>
        <v>1.455356376</v>
      </c>
      <c r="O330" s="10">
        <f t="shared" si="5"/>
        <v>3497.82</v>
      </c>
      <c r="P330" s="10">
        <f t="shared" si="6"/>
        <v>31.28830734</v>
      </c>
      <c r="Q330" s="10">
        <f t="shared" si="7"/>
        <v>2025</v>
      </c>
      <c r="R330" s="10">
        <f t="shared" si="8"/>
        <v>5</v>
      </c>
      <c r="S330" s="10" t="str">
        <f t="shared" si="9"/>
        <v>2025-05</v>
      </c>
    </row>
    <row r="331" ht="14.25" customHeight="1">
      <c r="A331" s="7" t="s">
        <v>357</v>
      </c>
      <c r="B331" s="8">
        <v>45647.0</v>
      </c>
      <c r="C331" s="7" t="s">
        <v>23</v>
      </c>
      <c r="D331" s="7" t="s">
        <v>29</v>
      </c>
      <c r="E331" s="9">
        <v>6043.79</v>
      </c>
      <c r="F331" s="9">
        <v>5281.79</v>
      </c>
      <c r="G331" s="9">
        <v>83532.0</v>
      </c>
      <c r="H331" s="9">
        <v>3585.0</v>
      </c>
      <c r="I331" s="9">
        <v>478.0</v>
      </c>
      <c r="J331" s="9">
        <v>21305.93</v>
      </c>
      <c r="K331" s="10">
        <f t="shared" si="1"/>
        <v>0.04291768424</v>
      </c>
      <c r="L331" s="10">
        <f t="shared" si="2"/>
        <v>1.47330265</v>
      </c>
      <c r="M331" s="10">
        <f t="shared" si="3"/>
        <v>11.04976987</v>
      </c>
      <c r="N331" s="10">
        <f t="shared" si="4"/>
        <v>4.03384648</v>
      </c>
      <c r="O331" s="10">
        <f t="shared" si="5"/>
        <v>16024.14</v>
      </c>
      <c r="P331" s="10">
        <f t="shared" si="6"/>
        <v>75.20976554</v>
      </c>
      <c r="Q331" s="10">
        <f t="shared" si="7"/>
        <v>2024</v>
      </c>
      <c r="R331" s="10">
        <f t="shared" si="8"/>
        <v>12</v>
      </c>
      <c r="S331" s="10" t="str">
        <f t="shared" si="9"/>
        <v>2024-12</v>
      </c>
    </row>
    <row r="332" ht="14.25" customHeight="1">
      <c r="A332" s="7" t="s">
        <v>358</v>
      </c>
      <c r="B332" s="8">
        <v>45695.0</v>
      </c>
      <c r="C332" s="7" t="s">
        <v>20</v>
      </c>
      <c r="D332" s="7" t="s">
        <v>24</v>
      </c>
      <c r="E332" s="9">
        <v>8595.91</v>
      </c>
      <c r="F332" s="9">
        <v>8668.19</v>
      </c>
      <c r="G332" s="9">
        <v>149998.0</v>
      </c>
      <c r="H332" s="9">
        <v>5998.0</v>
      </c>
      <c r="I332" s="9">
        <v>629.0</v>
      </c>
      <c r="J332" s="9">
        <v>17715.38</v>
      </c>
      <c r="K332" s="10">
        <f t="shared" si="1"/>
        <v>0.03998719983</v>
      </c>
      <c r="L332" s="10">
        <f t="shared" si="2"/>
        <v>1.44518006</v>
      </c>
      <c r="M332" s="10">
        <f t="shared" si="3"/>
        <v>13.7809062</v>
      </c>
      <c r="N332" s="10">
        <f t="shared" si="4"/>
        <v>2.043723084</v>
      </c>
      <c r="O332" s="10">
        <f t="shared" si="5"/>
        <v>9047.19</v>
      </c>
      <c r="P332" s="10">
        <f t="shared" si="6"/>
        <v>51.06969199</v>
      </c>
      <c r="Q332" s="10">
        <f t="shared" si="7"/>
        <v>2025</v>
      </c>
      <c r="R332" s="10">
        <f t="shared" si="8"/>
        <v>2</v>
      </c>
      <c r="S332" s="10" t="str">
        <f t="shared" si="9"/>
        <v>2025-02</v>
      </c>
    </row>
    <row r="333" ht="14.25" customHeight="1">
      <c r="A333" s="7" t="s">
        <v>359</v>
      </c>
      <c r="B333" s="8">
        <v>45737.0</v>
      </c>
      <c r="C333" s="7" t="s">
        <v>23</v>
      </c>
      <c r="D333" s="7" t="s">
        <v>21</v>
      </c>
      <c r="E333" s="9">
        <v>7131.61</v>
      </c>
      <c r="F333" s="9">
        <v>6477.59</v>
      </c>
      <c r="G333" s="9">
        <v>171861.0</v>
      </c>
      <c r="H333" s="9">
        <v>2743.0</v>
      </c>
      <c r="I333" s="9">
        <v>78.0</v>
      </c>
      <c r="J333" s="9">
        <v>1774.3</v>
      </c>
      <c r="K333" s="10">
        <f t="shared" si="1"/>
        <v>0.01596057279</v>
      </c>
      <c r="L333" s="10">
        <f t="shared" si="2"/>
        <v>2.361498359</v>
      </c>
      <c r="M333" s="10">
        <f t="shared" si="3"/>
        <v>83.04602564</v>
      </c>
      <c r="N333" s="10">
        <f t="shared" si="4"/>
        <v>0.2739136006</v>
      </c>
      <c r="O333" s="10">
        <f t="shared" si="5"/>
        <v>-4703.29</v>
      </c>
      <c r="P333" s="10">
        <f t="shared" si="6"/>
        <v>-265.0786226</v>
      </c>
      <c r="Q333" s="10">
        <f t="shared" si="7"/>
        <v>2025</v>
      </c>
      <c r="R333" s="10">
        <f t="shared" si="8"/>
        <v>3</v>
      </c>
      <c r="S333" s="10" t="str">
        <f t="shared" si="9"/>
        <v>2025-03</v>
      </c>
    </row>
    <row r="334" ht="14.25" customHeight="1">
      <c r="A334" s="7" t="s">
        <v>360</v>
      </c>
      <c r="B334" s="8">
        <v>45725.0</v>
      </c>
      <c r="C334" s="7" t="s">
        <v>23</v>
      </c>
      <c r="D334" s="7" t="s">
        <v>24</v>
      </c>
      <c r="E334" s="9">
        <v>9421.2</v>
      </c>
      <c r="F334" s="9">
        <v>7923.66</v>
      </c>
      <c r="G334" s="9">
        <v>111608.0</v>
      </c>
      <c r="H334" s="9">
        <v>4858.0</v>
      </c>
      <c r="I334" s="9">
        <v>347.0</v>
      </c>
      <c r="J334" s="9">
        <v>16831.97</v>
      </c>
      <c r="K334" s="10">
        <f t="shared" si="1"/>
        <v>0.04352734571</v>
      </c>
      <c r="L334" s="10">
        <f t="shared" si="2"/>
        <v>1.631053932</v>
      </c>
      <c r="M334" s="10">
        <f t="shared" si="3"/>
        <v>22.83475504</v>
      </c>
      <c r="N334" s="10">
        <f t="shared" si="4"/>
        <v>2.124267069</v>
      </c>
      <c r="O334" s="10">
        <f t="shared" si="5"/>
        <v>8908.31</v>
      </c>
      <c r="P334" s="10">
        <f t="shared" si="6"/>
        <v>52.92493986</v>
      </c>
      <c r="Q334" s="10">
        <f t="shared" si="7"/>
        <v>2025</v>
      </c>
      <c r="R334" s="10">
        <f t="shared" si="8"/>
        <v>3</v>
      </c>
      <c r="S334" s="10" t="str">
        <f t="shared" si="9"/>
        <v>2025-03</v>
      </c>
    </row>
    <row r="335" ht="14.25" customHeight="1">
      <c r="A335" s="7" t="s">
        <v>361</v>
      </c>
      <c r="B335" s="8">
        <v>45777.0</v>
      </c>
      <c r="C335" s="7" t="s">
        <v>23</v>
      </c>
      <c r="D335" s="7" t="s">
        <v>26</v>
      </c>
      <c r="E335" s="9">
        <v>6122.04</v>
      </c>
      <c r="F335" s="9">
        <v>5237.65</v>
      </c>
      <c r="G335" s="9">
        <v>115362.0</v>
      </c>
      <c r="H335" s="9">
        <v>2448.0</v>
      </c>
      <c r="I335" s="9">
        <v>149.0</v>
      </c>
      <c r="J335" s="9">
        <v>5402.3</v>
      </c>
      <c r="K335" s="10">
        <f t="shared" si="1"/>
        <v>0.02122015915</v>
      </c>
      <c r="L335" s="10">
        <f t="shared" si="2"/>
        <v>2.139562908</v>
      </c>
      <c r="M335" s="10">
        <f t="shared" si="3"/>
        <v>35.15201342</v>
      </c>
      <c r="N335" s="10">
        <f t="shared" si="4"/>
        <v>1.031435854</v>
      </c>
      <c r="O335" s="10">
        <f t="shared" si="5"/>
        <v>164.65</v>
      </c>
      <c r="P335" s="10">
        <f t="shared" si="6"/>
        <v>3.047775947</v>
      </c>
      <c r="Q335" s="10">
        <f t="shared" si="7"/>
        <v>2025</v>
      </c>
      <c r="R335" s="10">
        <f t="shared" si="8"/>
        <v>4</v>
      </c>
      <c r="S335" s="10" t="str">
        <f t="shared" si="9"/>
        <v>2025-04</v>
      </c>
    </row>
    <row r="336" ht="14.25" customHeight="1">
      <c r="A336" s="7" t="s">
        <v>362</v>
      </c>
      <c r="B336" s="8">
        <v>45794.0</v>
      </c>
      <c r="C336" s="7" t="s">
        <v>23</v>
      </c>
      <c r="D336" s="7" t="s">
        <v>24</v>
      </c>
      <c r="E336" s="9">
        <v>9110.62</v>
      </c>
      <c r="F336" s="9">
        <v>9289.8</v>
      </c>
      <c r="G336" s="9">
        <v>166037.0</v>
      </c>
      <c r="H336" s="9">
        <v>1929.0</v>
      </c>
      <c r="I336" s="9">
        <v>275.0</v>
      </c>
      <c r="J336" s="9">
        <v>12154.13</v>
      </c>
      <c r="K336" s="10">
        <f t="shared" si="1"/>
        <v>0.0116178924</v>
      </c>
      <c r="L336" s="10">
        <f t="shared" si="2"/>
        <v>4.815863142</v>
      </c>
      <c r="M336" s="10">
        <f t="shared" si="3"/>
        <v>33.78109091</v>
      </c>
      <c r="N336" s="10">
        <f t="shared" si="4"/>
        <v>1.308330642</v>
      </c>
      <c r="O336" s="10">
        <f t="shared" si="5"/>
        <v>2864.33</v>
      </c>
      <c r="P336" s="10">
        <f t="shared" si="6"/>
        <v>23.56672176</v>
      </c>
      <c r="Q336" s="10">
        <f t="shared" si="7"/>
        <v>2025</v>
      </c>
      <c r="R336" s="10">
        <f t="shared" si="8"/>
        <v>5</v>
      </c>
      <c r="S336" s="10" t="str">
        <f t="shared" si="9"/>
        <v>2025-05</v>
      </c>
    </row>
    <row r="337" ht="14.25" customHeight="1">
      <c r="A337" s="7" t="s">
        <v>363</v>
      </c>
      <c r="B337" s="8">
        <v>45793.0</v>
      </c>
      <c r="C337" s="7" t="s">
        <v>20</v>
      </c>
      <c r="D337" s="7" t="s">
        <v>26</v>
      </c>
      <c r="E337" s="9">
        <v>7611.48</v>
      </c>
      <c r="F337" s="9">
        <v>7669.96</v>
      </c>
      <c r="G337" s="9">
        <v>116079.0</v>
      </c>
      <c r="H337" s="9">
        <v>3243.0</v>
      </c>
      <c r="I337" s="9">
        <v>205.0</v>
      </c>
      <c r="J337" s="9">
        <v>9322.55</v>
      </c>
      <c r="K337" s="10">
        <f t="shared" si="1"/>
        <v>0.0279378699</v>
      </c>
      <c r="L337" s="10">
        <f t="shared" si="2"/>
        <v>2.365081714</v>
      </c>
      <c r="M337" s="10">
        <f t="shared" si="3"/>
        <v>37.41443902</v>
      </c>
      <c r="N337" s="10">
        <f t="shared" si="4"/>
        <v>1.215462662</v>
      </c>
      <c r="O337" s="10">
        <f t="shared" si="5"/>
        <v>1652.59</v>
      </c>
      <c r="P337" s="10">
        <f t="shared" si="6"/>
        <v>17.72680222</v>
      </c>
      <c r="Q337" s="10">
        <f t="shared" si="7"/>
        <v>2025</v>
      </c>
      <c r="R337" s="10">
        <f t="shared" si="8"/>
        <v>5</v>
      </c>
      <c r="S337" s="10" t="str">
        <f t="shared" si="9"/>
        <v>2025-05</v>
      </c>
    </row>
    <row r="338" ht="14.25" customHeight="1">
      <c r="A338" s="7" t="s">
        <v>364</v>
      </c>
      <c r="B338" s="8">
        <v>45685.0</v>
      </c>
      <c r="C338" s="7" t="s">
        <v>20</v>
      </c>
      <c r="D338" s="7" t="s">
        <v>29</v>
      </c>
      <c r="E338" s="9">
        <v>4747.68</v>
      </c>
      <c r="F338" s="9">
        <v>4495.23</v>
      </c>
      <c r="G338" s="9">
        <v>67946.0</v>
      </c>
      <c r="H338" s="9">
        <v>1270.0</v>
      </c>
      <c r="I338" s="9">
        <v>110.0</v>
      </c>
      <c r="J338" s="9">
        <v>2929.99</v>
      </c>
      <c r="K338" s="10">
        <f t="shared" si="1"/>
        <v>0.01869131369</v>
      </c>
      <c r="L338" s="10">
        <f t="shared" si="2"/>
        <v>3.539551181</v>
      </c>
      <c r="M338" s="10">
        <f t="shared" si="3"/>
        <v>40.86572727</v>
      </c>
      <c r="N338" s="10">
        <f t="shared" si="4"/>
        <v>0.6517997967</v>
      </c>
      <c r="O338" s="10">
        <f t="shared" si="5"/>
        <v>-1565.24</v>
      </c>
      <c r="P338" s="10">
        <f t="shared" si="6"/>
        <v>-53.42134273</v>
      </c>
      <c r="Q338" s="10">
        <f t="shared" si="7"/>
        <v>2025</v>
      </c>
      <c r="R338" s="10">
        <f t="shared" si="8"/>
        <v>1</v>
      </c>
      <c r="S338" s="10" t="str">
        <f t="shared" si="9"/>
        <v>2025-01</v>
      </c>
    </row>
    <row r="339" ht="14.25" customHeight="1">
      <c r="A339" s="7" t="s">
        <v>365</v>
      </c>
      <c r="B339" s="8">
        <v>45637.0</v>
      </c>
      <c r="C339" s="7" t="s">
        <v>28</v>
      </c>
      <c r="D339" s="7" t="s">
        <v>21</v>
      </c>
      <c r="E339" s="9">
        <v>9913.68</v>
      </c>
      <c r="F339" s="9">
        <v>10738.67</v>
      </c>
      <c r="G339" s="9">
        <v>123947.0</v>
      </c>
      <c r="H339" s="9">
        <v>4068.0</v>
      </c>
      <c r="I339" s="9">
        <v>400.0</v>
      </c>
      <c r="J339" s="9">
        <v>8473.12</v>
      </c>
      <c r="K339" s="10">
        <f t="shared" si="1"/>
        <v>0.03282047972</v>
      </c>
      <c r="L339" s="10">
        <f t="shared" si="2"/>
        <v>2.639791052</v>
      </c>
      <c r="M339" s="10">
        <f t="shared" si="3"/>
        <v>26.846675</v>
      </c>
      <c r="N339" s="10">
        <f t="shared" si="4"/>
        <v>0.789028809</v>
      </c>
      <c r="O339" s="10">
        <f t="shared" si="5"/>
        <v>-2265.55</v>
      </c>
      <c r="P339" s="10">
        <f t="shared" si="6"/>
        <v>-26.73808467</v>
      </c>
      <c r="Q339" s="10">
        <f t="shared" si="7"/>
        <v>2024</v>
      </c>
      <c r="R339" s="10">
        <f t="shared" si="8"/>
        <v>12</v>
      </c>
      <c r="S339" s="10" t="str">
        <f t="shared" si="9"/>
        <v>2024-12</v>
      </c>
    </row>
    <row r="340" ht="14.25" customHeight="1">
      <c r="A340" s="7" t="s">
        <v>366</v>
      </c>
      <c r="B340" s="8">
        <v>45788.0</v>
      </c>
      <c r="C340" s="7" t="s">
        <v>33</v>
      </c>
      <c r="D340" s="7" t="s">
        <v>21</v>
      </c>
      <c r="E340" s="9">
        <v>7939.03</v>
      </c>
      <c r="F340" s="9">
        <v>8554.9</v>
      </c>
      <c r="G340" s="9">
        <v>68639.0</v>
      </c>
      <c r="H340" s="9">
        <v>3348.0</v>
      </c>
      <c r="I340" s="9">
        <v>275.0</v>
      </c>
      <c r="J340" s="9">
        <v>6989.75</v>
      </c>
      <c r="K340" s="10">
        <f t="shared" si="1"/>
        <v>0.0487769344</v>
      </c>
      <c r="L340" s="10">
        <f t="shared" si="2"/>
        <v>2.555227001</v>
      </c>
      <c r="M340" s="10">
        <f t="shared" si="3"/>
        <v>31.10872727</v>
      </c>
      <c r="N340" s="10">
        <f t="shared" si="4"/>
        <v>0.8170463711</v>
      </c>
      <c r="O340" s="10">
        <f t="shared" si="5"/>
        <v>-1565.15</v>
      </c>
      <c r="P340" s="10">
        <f t="shared" si="6"/>
        <v>-22.39207411</v>
      </c>
      <c r="Q340" s="10">
        <f t="shared" si="7"/>
        <v>2025</v>
      </c>
      <c r="R340" s="10">
        <f t="shared" si="8"/>
        <v>5</v>
      </c>
      <c r="S340" s="10" t="str">
        <f t="shared" si="9"/>
        <v>2025-05</v>
      </c>
    </row>
    <row r="341" ht="14.25" customHeight="1">
      <c r="A341" s="7" t="s">
        <v>367</v>
      </c>
      <c r="B341" s="8">
        <v>45664.0</v>
      </c>
      <c r="C341" s="7" t="s">
        <v>31</v>
      </c>
      <c r="D341" s="7" t="s">
        <v>24</v>
      </c>
      <c r="E341" s="9">
        <v>6975.62</v>
      </c>
      <c r="F341" s="9">
        <v>7496.33</v>
      </c>
      <c r="G341" s="9">
        <v>158533.0</v>
      </c>
      <c r="H341" s="9">
        <v>6076.0</v>
      </c>
      <c r="I341" s="9">
        <v>478.0</v>
      </c>
      <c r="J341" s="9">
        <v>10046.79</v>
      </c>
      <c r="K341" s="10">
        <f t="shared" si="1"/>
        <v>0.03832640523</v>
      </c>
      <c r="L341" s="10">
        <f t="shared" si="2"/>
        <v>1.233760698</v>
      </c>
      <c r="M341" s="10">
        <f t="shared" si="3"/>
        <v>15.68269874</v>
      </c>
      <c r="N341" s="10">
        <f t="shared" si="4"/>
        <v>1.340227818</v>
      </c>
      <c r="O341" s="10">
        <f t="shared" si="5"/>
        <v>2550.46</v>
      </c>
      <c r="P341" s="10">
        <f t="shared" si="6"/>
        <v>25.38581975</v>
      </c>
      <c r="Q341" s="10">
        <f t="shared" si="7"/>
        <v>2025</v>
      </c>
      <c r="R341" s="10">
        <f t="shared" si="8"/>
        <v>1</v>
      </c>
      <c r="S341" s="10" t="str">
        <f t="shared" si="9"/>
        <v>2025-01</v>
      </c>
    </row>
    <row r="342" ht="14.25" customHeight="1">
      <c r="A342" s="7" t="s">
        <v>368</v>
      </c>
      <c r="B342" s="8">
        <v>45763.0</v>
      </c>
      <c r="C342" s="7" t="s">
        <v>23</v>
      </c>
      <c r="D342" s="7" t="s">
        <v>21</v>
      </c>
      <c r="E342" s="9">
        <v>7881.94</v>
      </c>
      <c r="F342" s="9">
        <v>7008.66</v>
      </c>
      <c r="G342" s="9">
        <v>74923.0</v>
      </c>
      <c r="H342" s="9">
        <v>3598.0</v>
      </c>
      <c r="I342" s="9">
        <v>369.0</v>
      </c>
      <c r="J342" s="9">
        <v>17613.07</v>
      </c>
      <c r="K342" s="10">
        <f t="shared" si="1"/>
        <v>0.04802263657</v>
      </c>
      <c r="L342" s="10">
        <f t="shared" si="2"/>
        <v>1.947932185</v>
      </c>
      <c r="M342" s="10">
        <f t="shared" si="3"/>
        <v>18.99365854</v>
      </c>
      <c r="N342" s="10">
        <f t="shared" si="4"/>
        <v>2.513043863</v>
      </c>
      <c r="O342" s="10">
        <f t="shared" si="5"/>
        <v>10604.41</v>
      </c>
      <c r="P342" s="10">
        <f t="shared" si="6"/>
        <v>60.20761855</v>
      </c>
      <c r="Q342" s="10">
        <f t="shared" si="7"/>
        <v>2025</v>
      </c>
      <c r="R342" s="10">
        <f t="shared" si="8"/>
        <v>4</v>
      </c>
      <c r="S342" s="10" t="str">
        <f t="shared" si="9"/>
        <v>2025-04</v>
      </c>
    </row>
    <row r="343" ht="14.25" customHeight="1">
      <c r="A343" s="7" t="s">
        <v>369</v>
      </c>
      <c r="B343" s="8">
        <v>45784.0</v>
      </c>
      <c r="C343" s="7" t="s">
        <v>31</v>
      </c>
      <c r="D343" s="7" t="s">
        <v>26</v>
      </c>
      <c r="E343" s="9">
        <v>9797.41</v>
      </c>
      <c r="F343" s="9">
        <v>10613.34</v>
      </c>
      <c r="G343" s="9">
        <v>196954.0</v>
      </c>
      <c r="H343" s="9">
        <v>4588.0</v>
      </c>
      <c r="I343" s="9">
        <v>657.0</v>
      </c>
      <c r="J343" s="9">
        <v>22486.76</v>
      </c>
      <c r="K343" s="10">
        <f t="shared" si="1"/>
        <v>0.02329477949</v>
      </c>
      <c r="L343" s="10">
        <f t="shared" si="2"/>
        <v>2.313282476</v>
      </c>
      <c r="M343" s="10">
        <f t="shared" si="3"/>
        <v>16.15424658</v>
      </c>
      <c r="N343" s="10">
        <f t="shared" si="4"/>
        <v>2.118726056</v>
      </c>
      <c r="O343" s="10">
        <f t="shared" si="5"/>
        <v>11873.42</v>
      </c>
      <c r="P343" s="10">
        <f t="shared" si="6"/>
        <v>52.8018265</v>
      </c>
      <c r="Q343" s="10">
        <f t="shared" si="7"/>
        <v>2025</v>
      </c>
      <c r="R343" s="10">
        <f t="shared" si="8"/>
        <v>5</v>
      </c>
      <c r="S343" s="10" t="str">
        <f t="shared" si="9"/>
        <v>2025-05</v>
      </c>
    </row>
    <row r="344" ht="14.25" customHeight="1">
      <c r="A344" s="7" t="s">
        <v>370</v>
      </c>
      <c r="B344" s="8">
        <v>45735.0</v>
      </c>
      <c r="C344" s="7" t="s">
        <v>28</v>
      </c>
      <c r="D344" s="7" t="s">
        <v>24</v>
      </c>
      <c r="E344" s="9">
        <v>9034.3</v>
      </c>
      <c r="F344" s="9">
        <v>9516.41</v>
      </c>
      <c r="G344" s="9">
        <v>103912.0</v>
      </c>
      <c r="H344" s="9">
        <v>1528.0</v>
      </c>
      <c r="I344" s="9">
        <v>148.0</v>
      </c>
      <c r="J344" s="9">
        <v>4376.81</v>
      </c>
      <c r="K344" s="10">
        <f t="shared" si="1"/>
        <v>0.01470475017</v>
      </c>
      <c r="L344" s="10">
        <f t="shared" si="2"/>
        <v>6.228017016</v>
      </c>
      <c r="M344" s="10">
        <f t="shared" si="3"/>
        <v>64.30006757</v>
      </c>
      <c r="N344" s="10">
        <f t="shared" si="4"/>
        <v>0.4599223867</v>
      </c>
      <c r="O344" s="10">
        <f t="shared" si="5"/>
        <v>-5139.6</v>
      </c>
      <c r="P344" s="10">
        <f t="shared" si="6"/>
        <v>-117.4279898</v>
      </c>
      <c r="Q344" s="10">
        <f t="shared" si="7"/>
        <v>2025</v>
      </c>
      <c r="R344" s="10">
        <f t="shared" si="8"/>
        <v>3</v>
      </c>
      <c r="S344" s="10" t="str">
        <f t="shared" si="9"/>
        <v>2025-03</v>
      </c>
    </row>
    <row r="345" ht="14.25" customHeight="1">
      <c r="A345" s="7" t="s">
        <v>371</v>
      </c>
      <c r="B345" s="8">
        <v>45656.0</v>
      </c>
      <c r="C345" s="7" t="s">
        <v>20</v>
      </c>
      <c r="D345" s="7" t="s">
        <v>26</v>
      </c>
      <c r="E345" s="9">
        <v>8802.41</v>
      </c>
      <c r="F345" s="9">
        <v>7139.65</v>
      </c>
      <c r="G345" s="9">
        <v>135367.0</v>
      </c>
      <c r="H345" s="9">
        <v>1109.0</v>
      </c>
      <c r="I345" s="9">
        <v>182.0</v>
      </c>
      <c r="J345" s="9">
        <v>6895.63</v>
      </c>
      <c r="K345" s="10">
        <f t="shared" si="1"/>
        <v>0.008192543234</v>
      </c>
      <c r="L345" s="10">
        <f t="shared" si="2"/>
        <v>6.437917042</v>
      </c>
      <c r="M345" s="10">
        <f t="shared" si="3"/>
        <v>39.22884615</v>
      </c>
      <c r="N345" s="10">
        <f t="shared" si="4"/>
        <v>0.965821854</v>
      </c>
      <c r="O345" s="10">
        <f t="shared" si="5"/>
        <v>-244.02</v>
      </c>
      <c r="P345" s="10">
        <f t="shared" si="6"/>
        <v>-3.538762956</v>
      </c>
      <c r="Q345" s="10">
        <f t="shared" si="7"/>
        <v>2024</v>
      </c>
      <c r="R345" s="10">
        <f t="shared" si="8"/>
        <v>12</v>
      </c>
      <c r="S345" s="10" t="str">
        <f t="shared" si="9"/>
        <v>2024-12</v>
      </c>
    </row>
    <row r="346" ht="14.25" customHeight="1">
      <c r="A346" s="7" t="s">
        <v>372</v>
      </c>
      <c r="B346" s="8">
        <v>45753.0</v>
      </c>
      <c r="C346" s="7" t="s">
        <v>28</v>
      </c>
      <c r="D346" s="7" t="s">
        <v>29</v>
      </c>
      <c r="E346" s="9">
        <v>4610.06</v>
      </c>
      <c r="F346" s="9">
        <v>3854.79</v>
      </c>
      <c r="G346" s="9">
        <v>154277.0</v>
      </c>
      <c r="H346" s="9">
        <v>3322.0</v>
      </c>
      <c r="I346" s="9">
        <v>278.0</v>
      </c>
      <c r="J346" s="9">
        <v>6201.79</v>
      </c>
      <c r="K346" s="10">
        <f t="shared" si="1"/>
        <v>0.02153269768</v>
      </c>
      <c r="L346" s="10">
        <f t="shared" si="2"/>
        <v>1.1603823</v>
      </c>
      <c r="M346" s="10">
        <f t="shared" si="3"/>
        <v>13.86615108</v>
      </c>
      <c r="N346" s="10">
        <f t="shared" si="4"/>
        <v>1.608852882</v>
      </c>
      <c r="O346" s="10">
        <f t="shared" si="5"/>
        <v>2347</v>
      </c>
      <c r="P346" s="10">
        <f t="shared" si="6"/>
        <v>37.84391281</v>
      </c>
      <c r="Q346" s="10">
        <f t="shared" si="7"/>
        <v>2025</v>
      </c>
      <c r="R346" s="10">
        <f t="shared" si="8"/>
        <v>4</v>
      </c>
      <c r="S346" s="10" t="str">
        <f t="shared" si="9"/>
        <v>2025-04</v>
      </c>
    </row>
    <row r="347" ht="14.25" customHeight="1">
      <c r="A347" s="7" t="s">
        <v>373</v>
      </c>
      <c r="B347" s="8">
        <v>45707.0</v>
      </c>
      <c r="C347" s="7" t="s">
        <v>28</v>
      </c>
      <c r="D347" s="7" t="s">
        <v>29</v>
      </c>
      <c r="E347" s="9">
        <v>7874.02</v>
      </c>
      <c r="F347" s="9">
        <v>7102.07</v>
      </c>
      <c r="G347" s="9">
        <v>194871.0</v>
      </c>
      <c r="H347" s="9">
        <v>7907.0</v>
      </c>
      <c r="I347" s="9">
        <v>784.0</v>
      </c>
      <c r="J347" s="9">
        <v>32726.51</v>
      </c>
      <c r="K347" s="10">
        <f t="shared" si="1"/>
        <v>0.04057556024</v>
      </c>
      <c r="L347" s="10">
        <f t="shared" si="2"/>
        <v>0.8982003288</v>
      </c>
      <c r="M347" s="10">
        <f t="shared" si="3"/>
        <v>9.058762755</v>
      </c>
      <c r="N347" s="10">
        <f t="shared" si="4"/>
        <v>4.608024139</v>
      </c>
      <c r="O347" s="10">
        <f t="shared" si="5"/>
        <v>25624.44</v>
      </c>
      <c r="P347" s="10">
        <f t="shared" si="6"/>
        <v>78.2987248</v>
      </c>
      <c r="Q347" s="10">
        <f t="shared" si="7"/>
        <v>2025</v>
      </c>
      <c r="R347" s="10">
        <f t="shared" si="8"/>
        <v>2</v>
      </c>
      <c r="S347" s="10" t="str">
        <f t="shared" si="9"/>
        <v>2025-02</v>
      </c>
    </row>
    <row r="348" ht="14.25" customHeight="1">
      <c r="A348" s="7" t="s">
        <v>374</v>
      </c>
      <c r="B348" s="8">
        <v>45797.0</v>
      </c>
      <c r="C348" s="7" t="s">
        <v>23</v>
      </c>
      <c r="D348" s="7" t="s">
        <v>26</v>
      </c>
      <c r="E348" s="9">
        <v>3457.49</v>
      </c>
      <c r="F348" s="9">
        <v>3093.03</v>
      </c>
      <c r="G348" s="9">
        <v>57427.0</v>
      </c>
      <c r="H348" s="9">
        <v>1092.0</v>
      </c>
      <c r="I348" s="9">
        <v>199.0</v>
      </c>
      <c r="J348" s="9">
        <v>7200.76</v>
      </c>
      <c r="K348" s="10">
        <f t="shared" si="1"/>
        <v>0.0190154457</v>
      </c>
      <c r="L348" s="10">
        <f t="shared" si="2"/>
        <v>2.832445055</v>
      </c>
      <c r="M348" s="10">
        <f t="shared" si="3"/>
        <v>15.54286432</v>
      </c>
      <c r="N348" s="10">
        <f t="shared" si="4"/>
        <v>2.328060187</v>
      </c>
      <c r="O348" s="10">
        <f t="shared" si="5"/>
        <v>4107.73</v>
      </c>
      <c r="P348" s="10">
        <f t="shared" si="6"/>
        <v>57.04578406</v>
      </c>
      <c r="Q348" s="10">
        <f t="shared" si="7"/>
        <v>2025</v>
      </c>
      <c r="R348" s="10">
        <f t="shared" si="8"/>
        <v>5</v>
      </c>
      <c r="S348" s="10" t="str">
        <f t="shared" si="9"/>
        <v>2025-05</v>
      </c>
    </row>
    <row r="349" ht="14.25" customHeight="1">
      <c r="A349" s="7" t="s">
        <v>375</v>
      </c>
      <c r="B349" s="8">
        <v>45653.0</v>
      </c>
      <c r="C349" s="7" t="s">
        <v>20</v>
      </c>
      <c r="D349" s="7" t="s">
        <v>29</v>
      </c>
      <c r="E349" s="9">
        <v>8535.06</v>
      </c>
      <c r="F349" s="9">
        <v>7644.22</v>
      </c>
      <c r="G349" s="9">
        <v>192331.0</v>
      </c>
      <c r="H349" s="9">
        <v>2108.0</v>
      </c>
      <c r="I349" s="9">
        <v>210.0</v>
      </c>
      <c r="J349" s="9">
        <v>8143.12</v>
      </c>
      <c r="K349" s="10">
        <f t="shared" si="1"/>
        <v>0.01096027162</v>
      </c>
      <c r="L349" s="10">
        <f t="shared" si="2"/>
        <v>3.626290323</v>
      </c>
      <c r="M349" s="10">
        <f t="shared" si="3"/>
        <v>36.40104762</v>
      </c>
      <c r="N349" s="10">
        <f t="shared" si="4"/>
        <v>1.065264998</v>
      </c>
      <c r="O349" s="10">
        <f t="shared" si="5"/>
        <v>498.9</v>
      </c>
      <c r="P349" s="10">
        <f t="shared" si="6"/>
        <v>6.126644333</v>
      </c>
      <c r="Q349" s="10">
        <f t="shared" si="7"/>
        <v>2024</v>
      </c>
      <c r="R349" s="10">
        <f t="shared" si="8"/>
        <v>12</v>
      </c>
      <c r="S349" s="10" t="str">
        <f t="shared" si="9"/>
        <v>2024-12</v>
      </c>
    </row>
    <row r="350" ht="14.25" customHeight="1">
      <c r="A350" s="7" t="s">
        <v>376</v>
      </c>
      <c r="B350" s="8">
        <v>45807.0</v>
      </c>
      <c r="C350" s="7" t="s">
        <v>23</v>
      </c>
      <c r="D350" s="7" t="s">
        <v>21</v>
      </c>
      <c r="E350" s="9">
        <v>9201.84</v>
      </c>
      <c r="F350" s="9">
        <v>9061.59</v>
      </c>
      <c r="G350" s="9">
        <v>66208.0</v>
      </c>
      <c r="H350" s="9">
        <v>2170.0</v>
      </c>
      <c r="I350" s="9">
        <v>345.0</v>
      </c>
      <c r="J350" s="9">
        <v>9311.13</v>
      </c>
      <c r="K350" s="10">
        <f t="shared" si="1"/>
        <v>0.03277549541</v>
      </c>
      <c r="L350" s="10">
        <f t="shared" si="2"/>
        <v>4.175847926</v>
      </c>
      <c r="M350" s="10">
        <f t="shared" si="3"/>
        <v>26.26547826</v>
      </c>
      <c r="N350" s="10">
        <f t="shared" si="4"/>
        <v>1.027538213</v>
      </c>
      <c r="O350" s="10">
        <f t="shared" si="5"/>
        <v>249.54</v>
      </c>
      <c r="P350" s="10">
        <f t="shared" si="6"/>
        <v>2.68001843</v>
      </c>
      <c r="Q350" s="10">
        <f t="shared" si="7"/>
        <v>2025</v>
      </c>
      <c r="R350" s="10">
        <f t="shared" si="8"/>
        <v>5</v>
      </c>
      <c r="S350" s="10" t="str">
        <f t="shared" si="9"/>
        <v>2025-05</v>
      </c>
    </row>
    <row r="351" ht="14.25" customHeight="1">
      <c r="A351" s="7" t="s">
        <v>377</v>
      </c>
      <c r="B351" s="8">
        <v>45726.0</v>
      </c>
      <c r="C351" s="7" t="s">
        <v>33</v>
      </c>
      <c r="D351" s="7" t="s">
        <v>29</v>
      </c>
      <c r="E351" s="9">
        <v>3170.81</v>
      </c>
      <c r="F351" s="9">
        <v>3364.32</v>
      </c>
      <c r="G351" s="9">
        <v>132053.0</v>
      </c>
      <c r="H351" s="9">
        <v>4867.0</v>
      </c>
      <c r="I351" s="9">
        <v>162.0</v>
      </c>
      <c r="J351" s="9">
        <v>3343.37</v>
      </c>
      <c r="K351" s="10">
        <f t="shared" si="1"/>
        <v>0.03685641371</v>
      </c>
      <c r="L351" s="10">
        <f t="shared" si="2"/>
        <v>0.6912512842</v>
      </c>
      <c r="M351" s="10">
        <f t="shared" si="3"/>
        <v>20.76740741</v>
      </c>
      <c r="N351" s="10">
        <f t="shared" si="4"/>
        <v>0.9937728872</v>
      </c>
      <c r="O351" s="10">
        <f t="shared" si="5"/>
        <v>-20.95</v>
      </c>
      <c r="P351" s="10">
        <f t="shared" si="6"/>
        <v>-0.6266132675</v>
      </c>
      <c r="Q351" s="10">
        <f t="shared" si="7"/>
        <v>2025</v>
      </c>
      <c r="R351" s="10">
        <f t="shared" si="8"/>
        <v>3</v>
      </c>
      <c r="S351" s="10" t="str">
        <f t="shared" si="9"/>
        <v>2025-03</v>
      </c>
    </row>
    <row r="352" ht="14.25" customHeight="1">
      <c r="A352" s="7" t="s">
        <v>378</v>
      </c>
      <c r="B352" s="8">
        <v>45745.0</v>
      </c>
      <c r="C352" s="7" t="s">
        <v>33</v>
      </c>
      <c r="D352" s="7" t="s">
        <v>21</v>
      </c>
      <c r="E352" s="9">
        <v>9122.91</v>
      </c>
      <c r="F352" s="9">
        <v>8745.96</v>
      </c>
      <c r="G352" s="9">
        <v>195707.0</v>
      </c>
      <c r="H352" s="9">
        <v>8454.0</v>
      </c>
      <c r="I352" s="9">
        <v>371.0</v>
      </c>
      <c r="J352" s="9">
        <v>17871.82</v>
      </c>
      <c r="K352" s="10">
        <f t="shared" si="1"/>
        <v>0.04319722851</v>
      </c>
      <c r="L352" s="10">
        <f t="shared" si="2"/>
        <v>1.034535131</v>
      </c>
      <c r="M352" s="10">
        <f t="shared" si="3"/>
        <v>23.57401617</v>
      </c>
      <c r="N352" s="10">
        <f t="shared" si="4"/>
        <v>2.043437198</v>
      </c>
      <c r="O352" s="10">
        <f t="shared" si="5"/>
        <v>9125.86</v>
      </c>
      <c r="P352" s="10">
        <f t="shared" si="6"/>
        <v>51.06284643</v>
      </c>
      <c r="Q352" s="10">
        <f t="shared" si="7"/>
        <v>2025</v>
      </c>
      <c r="R352" s="10">
        <f t="shared" si="8"/>
        <v>3</v>
      </c>
      <c r="S352" s="10" t="str">
        <f t="shared" si="9"/>
        <v>2025-03</v>
      </c>
    </row>
    <row r="353" ht="14.25" customHeight="1">
      <c r="A353" s="7" t="s">
        <v>379</v>
      </c>
      <c r="B353" s="8">
        <v>45776.0</v>
      </c>
      <c r="C353" s="7" t="s">
        <v>20</v>
      </c>
      <c r="D353" s="7" t="s">
        <v>29</v>
      </c>
      <c r="E353" s="9">
        <v>8591.48</v>
      </c>
      <c r="F353" s="9">
        <v>9445.3</v>
      </c>
      <c r="G353" s="9">
        <v>106946.0</v>
      </c>
      <c r="H353" s="9">
        <v>4278.0</v>
      </c>
      <c r="I353" s="9">
        <v>149.0</v>
      </c>
      <c r="J353" s="9">
        <v>4547.68</v>
      </c>
      <c r="K353" s="10">
        <f t="shared" si="1"/>
        <v>0.04000149608</v>
      </c>
      <c r="L353" s="10">
        <f t="shared" si="2"/>
        <v>2.207877513</v>
      </c>
      <c r="M353" s="10">
        <f t="shared" si="3"/>
        <v>63.39127517</v>
      </c>
      <c r="N353" s="10">
        <f t="shared" si="4"/>
        <v>0.4814754428</v>
      </c>
      <c r="O353" s="10">
        <f t="shared" si="5"/>
        <v>-4897.62</v>
      </c>
      <c r="P353" s="10">
        <f t="shared" si="6"/>
        <v>-107.6949126</v>
      </c>
      <c r="Q353" s="10">
        <f t="shared" si="7"/>
        <v>2025</v>
      </c>
      <c r="R353" s="10">
        <f t="shared" si="8"/>
        <v>4</v>
      </c>
      <c r="S353" s="10" t="str">
        <f t="shared" si="9"/>
        <v>2025-04</v>
      </c>
    </row>
    <row r="354" ht="14.25" customHeight="1">
      <c r="A354" s="7" t="s">
        <v>380</v>
      </c>
      <c r="B354" s="8">
        <v>45663.0</v>
      </c>
      <c r="C354" s="7" t="s">
        <v>20</v>
      </c>
      <c r="D354" s="7" t="s">
        <v>26</v>
      </c>
      <c r="E354" s="9">
        <v>8370.32</v>
      </c>
      <c r="F354" s="9">
        <v>7705.54</v>
      </c>
      <c r="G354" s="9">
        <v>170434.0</v>
      </c>
      <c r="H354" s="9">
        <v>6373.0</v>
      </c>
      <c r="I354" s="9">
        <v>533.0</v>
      </c>
      <c r="J354" s="9">
        <v>18333.21</v>
      </c>
      <c r="K354" s="10">
        <f t="shared" si="1"/>
        <v>0.03739277374</v>
      </c>
      <c r="L354" s="10">
        <f t="shared" si="2"/>
        <v>1.20909148</v>
      </c>
      <c r="M354" s="10">
        <f t="shared" si="3"/>
        <v>14.45692308</v>
      </c>
      <c r="N354" s="10">
        <f t="shared" si="4"/>
        <v>2.379224558</v>
      </c>
      <c r="O354" s="10">
        <f t="shared" si="5"/>
        <v>10627.67</v>
      </c>
      <c r="P354" s="10">
        <f t="shared" si="6"/>
        <v>57.96949907</v>
      </c>
      <c r="Q354" s="10">
        <f t="shared" si="7"/>
        <v>2025</v>
      </c>
      <c r="R354" s="10">
        <f t="shared" si="8"/>
        <v>1</v>
      </c>
      <c r="S354" s="10" t="str">
        <f t="shared" si="9"/>
        <v>2025-01</v>
      </c>
    </row>
    <row r="355" ht="14.25" customHeight="1">
      <c r="A355" s="7" t="s">
        <v>381</v>
      </c>
      <c r="B355" s="8">
        <v>45642.0</v>
      </c>
      <c r="C355" s="7" t="s">
        <v>20</v>
      </c>
      <c r="D355" s="7" t="s">
        <v>29</v>
      </c>
      <c r="E355" s="9">
        <v>7392.54</v>
      </c>
      <c r="F355" s="9">
        <v>7851.64</v>
      </c>
      <c r="G355" s="9">
        <v>61724.0</v>
      </c>
      <c r="H355" s="9">
        <v>1074.0</v>
      </c>
      <c r="I355" s="9">
        <v>134.0</v>
      </c>
      <c r="J355" s="9">
        <v>6636.02</v>
      </c>
      <c r="K355" s="10">
        <f t="shared" si="1"/>
        <v>0.01740003888</v>
      </c>
      <c r="L355" s="10">
        <f t="shared" si="2"/>
        <v>7.310651769</v>
      </c>
      <c r="M355" s="10">
        <f t="shared" si="3"/>
        <v>58.59432836</v>
      </c>
      <c r="N355" s="10">
        <f t="shared" si="4"/>
        <v>0.8451762944</v>
      </c>
      <c r="O355" s="10">
        <f t="shared" si="5"/>
        <v>-1215.62</v>
      </c>
      <c r="P355" s="10">
        <f t="shared" si="6"/>
        <v>-18.31851019</v>
      </c>
      <c r="Q355" s="10">
        <f t="shared" si="7"/>
        <v>2024</v>
      </c>
      <c r="R355" s="10">
        <f t="shared" si="8"/>
        <v>12</v>
      </c>
      <c r="S355" s="10" t="str">
        <f t="shared" si="9"/>
        <v>2024-12</v>
      </c>
    </row>
    <row r="356" ht="14.25" customHeight="1">
      <c r="A356" s="7" t="s">
        <v>382</v>
      </c>
      <c r="B356" s="8">
        <v>45767.0</v>
      </c>
      <c r="C356" s="7" t="s">
        <v>33</v>
      </c>
      <c r="D356" s="7" t="s">
        <v>29</v>
      </c>
      <c r="E356" s="9">
        <v>8377.91</v>
      </c>
      <c r="F356" s="9">
        <v>7752.33</v>
      </c>
      <c r="G356" s="9">
        <v>194762.0</v>
      </c>
      <c r="H356" s="9">
        <v>1009.0</v>
      </c>
      <c r="I356" s="9">
        <v>129.0</v>
      </c>
      <c r="J356" s="9">
        <v>4210.65</v>
      </c>
      <c r="K356" s="10">
        <f t="shared" si="1"/>
        <v>0.005180682063</v>
      </c>
      <c r="L356" s="10">
        <f t="shared" si="2"/>
        <v>7.683181368</v>
      </c>
      <c r="M356" s="10">
        <f t="shared" si="3"/>
        <v>60.0955814</v>
      </c>
      <c r="N356" s="10">
        <f t="shared" si="4"/>
        <v>0.5431463831</v>
      </c>
      <c r="O356" s="10">
        <f t="shared" si="5"/>
        <v>-3541.68</v>
      </c>
      <c r="P356" s="10">
        <f t="shared" si="6"/>
        <v>-84.1124292</v>
      </c>
      <c r="Q356" s="10">
        <f t="shared" si="7"/>
        <v>2025</v>
      </c>
      <c r="R356" s="10">
        <f t="shared" si="8"/>
        <v>4</v>
      </c>
      <c r="S356" s="10" t="str">
        <f t="shared" si="9"/>
        <v>2025-04</v>
      </c>
    </row>
    <row r="357" ht="14.25" customHeight="1">
      <c r="A357" s="7" t="s">
        <v>383</v>
      </c>
      <c r="B357" s="8">
        <v>45685.0</v>
      </c>
      <c r="C357" s="7" t="s">
        <v>28</v>
      </c>
      <c r="D357" s="7" t="s">
        <v>26</v>
      </c>
      <c r="E357" s="9">
        <v>8163.08</v>
      </c>
      <c r="F357" s="9">
        <v>7115.21</v>
      </c>
      <c r="G357" s="9">
        <v>188259.0</v>
      </c>
      <c r="H357" s="9">
        <v>3527.0</v>
      </c>
      <c r="I357" s="9">
        <v>426.0</v>
      </c>
      <c r="J357" s="9">
        <v>9931.86</v>
      </c>
      <c r="K357" s="10">
        <f t="shared" si="1"/>
        <v>0.01873482808</v>
      </c>
      <c r="L357" s="10">
        <f t="shared" si="2"/>
        <v>2.017354692</v>
      </c>
      <c r="M357" s="10">
        <f t="shared" si="3"/>
        <v>16.70237089</v>
      </c>
      <c r="N357" s="10">
        <f t="shared" si="4"/>
        <v>1.395863228</v>
      </c>
      <c r="O357" s="10">
        <f t="shared" si="5"/>
        <v>2816.65</v>
      </c>
      <c r="P357" s="10">
        <f t="shared" si="6"/>
        <v>28.35974329</v>
      </c>
      <c r="Q357" s="10">
        <f t="shared" si="7"/>
        <v>2025</v>
      </c>
      <c r="R357" s="10">
        <f t="shared" si="8"/>
        <v>1</v>
      </c>
      <c r="S357" s="10" t="str">
        <f t="shared" si="9"/>
        <v>2025-01</v>
      </c>
    </row>
    <row r="358" ht="14.25" customHeight="1">
      <c r="A358" s="7" t="s">
        <v>384</v>
      </c>
      <c r="B358" s="8">
        <v>45818.0</v>
      </c>
      <c r="C358" s="7" t="s">
        <v>20</v>
      </c>
      <c r="D358" s="7" t="s">
        <v>21</v>
      </c>
      <c r="E358" s="9">
        <v>5482.36</v>
      </c>
      <c r="F358" s="9">
        <v>4858.31</v>
      </c>
      <c r="G358" s="9">
        <v>99224.0</v>
      </c>
      <c r="H358" s="9">
        <v>3662.0</v>
      </c>
      <c r="I358" s="9">
        <v>233.0</v>
      </c>
      <c r="J358" s="9">
        <v>6731.19</v>
      </c>
      <c r="K358" s="10">
        <f t="shared" si="1"/>
        <v>0.03690639361</v>
      </c>
      <c r="L358" s="10">
        <f t="shared" si="2"/>
        <v>1.326682141</v>
      </c>
      <c r="M358" s="10">
        <f t="shared" si="3"/>
        <v>20.85111588</v>
      </c>
      <c r="N358" s="10">
        <f t="shared" si="4"/>
        <v>1.385500308</v>
      </c>
      <c r="O358" s="10">
        <f t="shared" si="5"/>
        <v>1872.88</v>
      </c>
      <c r="P358" s="10">
        <f t="shared" si="6"/>
        <v>27.82390632</v>
      </c>
      <c r="Q358" s="10">
        <f t="shared" si="7"/>
        <v>2025</v>
      </c>
      <c r="R358" s="10">
        <f t="shared" si="8"/>
        <v>6</v>
      </c>
      <c r="S358" s="10" t="str">
        <f t="shared" si="9"/>
        <v>2025-06</v>
      </c>
    </row>
    <row r="359" ht="14.25" customHeight="1">
      <c r="A359" s="7" t="s">
        <v>385</v>
      </c>
      <c r="B359" s="8">
        <v>45730.0</v>
      </c>
      <c r="C359" s="7" t="s">
        <v>31</v>
      </c>
      <c r="D359" s="7" t="s">
        <v>21</v>
      </c>
      <c r="E359" s="9">
        <v>4635.25</v>
      </c>
      <c r="F359" s="9">
        <v>3766.73</v>
      </c>
      <c r="G359" s="9">
        <v>83109.0</v>
      </c>
      <c r="H359" s="9">
        <v>3984.0</v>
      </c>
      <c r="I359" s="9">
        <v>764.0</v>
      </c>
      <c r="J359" s="9">
        <v>15689.67</v>
      </c>
      <c r="K359" s="10">
        <f t="shared" si="1"/>
        <v>0.04793704653</v>
      </c>
      <c r="L359" s="10">
        <f t="shared" si="2"/>
        <v>0.9454643574</v>
      </c>
      <c r="M359" s="10">
        <f t="shared" si="3"/>
        <v>4.930274869</v>
      </c>
      <c r="N359" s="10">
        <f t="shared" si="4"/>
        <v>4.165329079</v>
      </c>
      <c r="O359" s="10">
        <f t="shared" si="5"/>
        <v>11922.94</v>
      </c>
      <c r="P359" s="10">
        <f t="shared" si="6"/>
        <v>75.99229302</v>
      </c>
      <c r="Q359" s="10">
        <f t="shared" si="7"/>
        <v>2025</v>
      </c>
      <c r="R359" s="10">
        <f t="shared" si="8"/>
        <v>3</v>
      </c>
      <c r="S359" s="10" t="str">
        <f t="shared" si="9"/>
        <v>2025-03</v>
      </c>
    </row>
    <row r="360" ht="14.25" customHeight="1">
      <c r="A360" s="7" t="s">
        <v>386</v>
      </c>
      <c r="B360" s="8">
        <v>45712.0</v>
      </c>
      <c r="C360" s="7" t="s">
        <v>20</v>
      </c>
      <c r="D360" s="7" t="s">
        <v>21</v>
      </c>
      <c r="E360" s="9">
        <v>9914.06</v>
      </c>
      <c r="F360" s="9">
        <v>9203.54</v>
      </c>
      <c r="G360" s="9">
        <v>111688.0</v>
      </c>
      <c r="H360" s="9">
        <v>2013.0</v>
      </c>
      <c r="I360" s="9">
        <v>234.0</v>
      </c>
      <c r="J360" s="9">
        <v>7377.97</v>
      </c>
      <c r="K360" s="10">
        <f t="shared" si="1"/>
        <v>0.01802342239</v>
      </c>
      <c r="L360" s="10">
        <f t="shared" si="2"/>
        <v>4.572051664</v>
      </c>
      <c r="M360" s="10">
        <f t="shared" si="3"/>
        <v>39.33136752</v>
      </c>
      <c r="N360" s="10">
        <f t="shared" si="4"/>
        <v>0.8016448019</v>
      </c>
      <c r="O360" s="10">
        <f t="shared" si="5"/>
        <v>-1825.57</v>
      </c>
      <c r="P360" s="10">
        <f t="shared" si="6"/>
        <v>-24.74352701</v>
      </c>
      <c r="Q360" s="10">
        <f t="shared" si="7"/>
        <v>2025</v>
      </c>
      <c r="R360" s="10">
        <f t="shared" si="8"/>
        <v>2</v>
      </c>
      <c r="S360" s="10" t="str">
        <f t="shared" si="9"/>
        <v>2025-02</v>
      </c>
    </row>
    <row r="361" ht="14.25" customHeight="1">
      <c r="A361" s="7" t="s">
        <v>387</v>
      </c>
      <c r="B361" s="8">
        <v>45693.0</v>
      </c>
      <c r="C361" s="7" t="s">
        <v>33</v>
      </c>
      <c r="D361" s="7" t="s">
        <v>24</v>
      </c>
      <c r="E361" s="9">
        <v>7757.53</v>
      </c>
      <c r="F361" s="9">
        <v>6713.96</v>
      </c>
      <c r="G361" s="9">
        <v>134861.0</v>
      </c>
      <c r="H361" s="9">
        <v>3399.0</v>
      </c>
      <c r="I361" s="9">
        <v>139.0</v>
      </c>
      <c r="J361" s="9">
        <v>6741.34</v>
      </c>
      <c r="K361" s="10">
        <f t="shared" si="1"/>
        <v>0.02520372828</v>
      </c>
      <c r="L361" s="10">
        <f t="shared" si="2"/>
        <v>1.975275081</v>
      </c>
      <c r="M361" s="10">
        <f t="shared" si="3"/>
        <v>48.3018705</v>
      </c>
      <c r="N361" s="10">
        <f t="shared" si="4"/>
        <v>1.00407807</v>
      </c>
      <c r="O361" s="10">
        <f t="shared" si="5"/>
        <v>27.38</v>
      </c>
      <c r="P361" s="10">
        <f t="shared" si="6"/>
        <v>0.4061507059</v>
      </c>
      <c r="Q361" s="10">
        <f t="shared" si="7"/>
        <v>2025</v>
      </c>
      <c r="R361" s="10">
        <f t="shared" si="8"/>
        <v>2</v>
      </c>
      <c r="S361" s="10" t="str">
        <f t="shared" si="9"/>
        <v>2025-02</v>
      </c>
    </row>
    <row r="362" ht="14.25" customHeight="1">
      <c r="A362" s="7" t="s">
        <v>388</v>
      </c>
      <c r="B362" s="8">
        <v>45645.0</v>
      </c>
      <c r="C362" s="7" t="s">
        <v>28</v>
      </c>
      <c r="D362" s="7" t="s">
        <v>29</v>
      </c>
      <c r="E362" s="9">
        <v>8504.42</v>
      </c>
      <c r="F362" s="9">
        <v>7031.65</v>
      </c>
      <c r="G362" s="9">
        <v>176820.0</v>
      </c>
      <c r="H362" s="9">
        <v>1932.0</v>
      </c>
      <c r="I362" s="9">
        <v>64.0</v>
      </c>
      <c r="J362" s="9">
        <v>2081.76</v>
      </c>
      <c r="K362" s="10">
        <f t="shared" si="1"/>
        <v>0.0109263658</v>
      </c>
      <c r="L362" s="10">
        <f t="shared" si="2"/>
        <v>3.639570393</v>
      </c>
      <c r="M362" s="10">
        <f t="shared" si="3"/>
        <v>109.8695313</v>
      </c>
      <c r="N362" s="10">
        <f t="shared" si="4"/>
        <v>0.2960556911</v>
      </c>
      <c r="O362" s="10">
        <f t="shared" si="5"/>
        <v>-4949.89</v>
      </c>
      <c r="P362" s="10">
        <f t="shared" si="6"/>
        <v>-237.7742871</v>
      </c>
      <c r="Q362" s="10">
        <f t="shared" si="7"/>
        <v>2024</v>
      </c>
      <c r="R362" s="10">
        <f t="shared" si="8"/>
        <v>12</v>
      </c>
      <c r="S362" s="10" t="str">
        <f t="shared" si="9"/>
        <v>2024-12</v>
      </c>
    </row>
    <row r="363" ht="14.25" customHeight="1">
      <c r="A363" s="7" t="s">
        <v>389</v>
      </c>
      <c r="B363" s="8">
        <v>45793.0</v>
      </c>
      <c r="C363" s="7" t="s">
        <v>28</v>
      </c>
      <c r="D363" s="7" t="s">
        <v>29</v>
      </c>
      <c r="E363" s="9">
        <v>9153.83</v>
      </c>
      <c r="F363" s="9">
        <v>9917.44</v>
      </c>
      <c r="G363" s="9">
        <v>86387.0</v>
      </c>
      <c r="H363" s="9">
        <v>2059.0</v>
      </c>
      <c r="I363" s="9">
        <v>67.0</v>
      </c>
      <c r="J363" s="9">
        <v>2279.48</v>
      </c>
      <c r="K363" s="10">
        <f t="shared" si="1"/>
        <v>0.02383460474</v>
      </c>
      <c r="L363" s="10">
        <f t="shared" si="2"/>
        <v>4.816629432</v>
      </c>
      <c r="M363" s="10">
        <f t="shared" si="3"/>
        <v>148.0214925</v>
      </c>
      <c r="N363" s="10">
        <f t="shared" si="4"/>
        <v>0.2298456053</v>
      </c>
      <c r="O363" s="10">
        <f t="shared" si="5"/>
        <v>-7637.96</v>
      </c>
      <c r="P363" s="10">
        <f t="shared" si="6"/>
        <v>-335.0746662</v>
      </c>
      <c r="Q363" s="10">
        <f t="shared" si="7"/>
        <v>2025</v>
      </c>
      <c r="R363" s="10">
        <f t="shared" si="8"/>
        <v>5</v>
      </c>
      <c r="S363" s="10" t="str">
        <f t="shared" si="9"/>
        <v>2025-05</v>
      </c>
    </row>
    <row r="364" ht="14.25" customHeight="1">
      <c r="A364" s="7" t="s">
        <v>390</v>
      </c>
      <c r="B364" s="8">
        <v>45765.0</v>
      </c>
      <c r="C364" s="7" t="s">
        <v>28</v>
      </c>
      <c r="D364" s="7" t="s">
        <v>29</v>
      </c>
      <c r="E364" s="9">
        <v>7293.88</v>
      </c>
      <c r="F364" s="9">
        <v>6200.6</v>
      </c>
      <c r="G364" s="9">
        <v>53430.0</v>
      </c>
      <c r="H364" s="9">
        <v>2126.0</v>
      </c>
      <c r="I364" s="9">
        <v>397.0</v>
      </c>
      <c r="J364" s="9">
        <v>19744.82</v>
      </c>
      <c r="K364" s="10">
        <f t="shared" si="1"/>
        <v>0.03979037994</v>
      </c>
      <c r="L364" s="10">
        <f t="shared" si="2"/>
        <v>2.916556914</v>
      </c>
      <c r="M364" s="10">
        <f t="shared" si="3"/>
        <v>15.6186398</v>
      </c>
      <c r="N364" s="10">
        <f t="shared" si="4"/>
        <v>3.184340225</v>
      </c>
      <c r="O364" s="10">
        <f t="shared" si="5"/>
        <v>13544.22</v>
      </c>
      <c r="P364" s="10">
        <f t="shared" si="6"/>
        <v>68.59632045</v>
      </c>
      <c r="Q364" s="10">
        <f t="shared" si="7"/>
        <v>2025</v>
      </c>
      <c r="R364" s="10">
        <f t="shared" si="8"/>
        <v>4</v>
      </c>
      <c r="S364" s="10" t="str">
        <f t="shared" si="9"/>
        <v>2025-04</v>
      </c>
    </row>
    <row r="365" ht="14.25" customHeight="1">
      <c r="A365" s="7" t="s">
        <v>391</v>
      </c>
      <c r="B365" s="8">
        <v>45686.0</v>
      </c>
      <c r="C365" s="7" t="s">
        <v>20</v>
      </c>
      <c r="D365" s="7" t="s">
        <v>29</v>
      </c>
      <c r="E365" s="9">
        <v>4621.7</v>
      </c>
      <c r="F365" s="9">
        <v>5004.47</v>
      </c>
      <c r="G365" s="9">
        <v>164936.0</v>
      </c>
      <c r="H365" s="9">
        <v>4651.0</v>
      </c>
      <c r="I365" s="9">
        <v>231.0</v>
      </c>
      <c r="J365" s="9">
        <v>9122.05</v>
      </c>
      <c r="K365" s="10">
        <f t="shared" si="1"/>
        <v>0.02819881651</v>
      </c>
      <c r="L365" s="10">
        <f t="shared" si="2"/>
        <v>1.07599871</v>
      </c>
      <c r="M365" s="10">
        <f t="shared" si="3"/>
        <v>21.66437229</v>
      </c>
      <c r="N365" s="10">
        <f t="shared" si="4"/>
        <v>1.822780434</v>
      </c>
      <c r="O365" s="10">
        <f t="shared" si="5"/>
        <v>4117.58</v>
      </c>
      <c r="P365" s="10">
        <f t="shared" si="6"/>
        <v>45.13875719</v>
      </c>
      <c r="Q365" s="10">
        <f t="shared" si="7"/>
        <v>2025</v>
      </c>
      <c r="R365" s="10">
        <f t="shared" si="8"/>
        <v>1</v>
      </c>
      <c r="S365" s="10" t="str">
        <f t="shared" si="9"/>
        <v>2025-01</v>
      </c>
    </row>
    <row r="366" ht="14.25" customHeight="1">
      <c r="A366" s="7" t="s">
        <v>392</v>
      </c>
      <c r="B366" s="8">
        <v>45726.0</v>
      </c>
      <c r="C366" s="7" t="s">
        <v>28</v>
      </c>
      <c r="D366" s="7" t="s">
        <v>29</v>
      </c>
      <c r="E366" s="9">
        <v>7254.16</v>
      </c>
      <c r="F366" s="9">
        <v>6919.07</v>
      </c>
      <c r="G366" s="9">
        <v>152738.0</v>
      </c>
      <c r="H366" s="9">
        <v>4601.0</v>
      </c>
      <c r="I366" s="9">
        <v>244.0</v>
      </c>
      <c r="J366" s="9">
        <v>6568.5</v>
      </c>
      <c r="K366" s="10">
        <f t="shared" si="1"/>
        <v>0.03012347942</v>
      </c>
      <c r="L366" s="10">
        <f t="shared" si="2"/>
        <v>1.503818735</v>
      </c>
      <c r="M366" s="10">
        <f t="shared" si="3"/>
        <v>28.35684426</v>
      </c>
      <c r="N366" s="10">
        <f t="shared" si="4"/>
        <v>0.9493327861</v>
      </c>
      <c r="O366" s="10">
        <f t="shared" si="5"/>
        <v>-350.57</v>
      </c>
      <c r="P366" s="10">
        <f t="shared" si="6"/>
        <v>-5.337139377</v>
      </c>
      <c r="Q366" s="10">
        <f t="shared" si="7"/>
        <v>2025</v>
      </c>
      <c r="R366" s="10">
        <f t="shared" si="8"/>
        <v>3</v>
      </c>
      <c r="S366" s="10" t="str">
        <f t="shared" si="9"/>
        <v>2025-03</v>
      </c>
    </row>
    <row r="367" ht="14.25" customHeight="1">
      <c r="A367" s="7" t="s">
        <v>393</v>
      </c>
      <c r="B367" s="8">
        <v>45694.0</v>
      </c>
      <c r="C367" s="7" t="s">
        <v>28</v>
      </c>
      <c r="D367" s="7" t="s">
        <v>29</v>
      </c>
      <c r="E367" s="9">
        <v>4235.7</v>
      </c>
      <c r="F367" s="9">
        <v>3668.73</v>
      </c>
      <c r="G367" s="9">
        <v>76927.0</v>
      </c>
      <c r="H367" s="9">
        <v>1398.0</v>
      </c>
      <c r="I367" s="9">
        <v>241.0</v>
      </c>
      <c r="J367" s="9">
        <v>6167.95</v>
      </c>
      <c r="K367" s="10">
        <f t="shared" si="1"/>
        <v>0.01817307317</v>
      </c>
      <c r="L367" s="10">
        <f t="shared" si="2"/>
        <v>2.624270386</v>
      </c>
      <c r="M367" s="10">
        <f t="shared" si="3"/>
        <v>15.22294606</v>
      </c>
      <c r="N367" s="10">
        <f t="shared" si="4"/>
        <v>1.681222112</v>
      </c>
      <c r="O367" s="10">
        <f t="shared" si="5"/>
        <v>2499.22</v>
      </c>
      <c r="P367" s="10">
        <f t="shared" si="6"/>
        <v>40.51945946</v>
      </c>
      <c r="Q367" s="10">
        <f t="shared" si="7"/>
        <v>2025</v>
      </c>
      <c r="R367" s="10">
        <f t="shared" si="8"/>
        <v>2</v>
      </c>
      <c r="S367" s="10" t="str">
        <f t="shared" si="9"/>
        <v>2025-02</v>
      </c>
    </row>
    <row r="368" ht="14.25" customHeight="1">
      <c r="A368" s="7" t="s">
        <v>394</v>
      </c>
      <c r="B368" s="8">
        <v>45736.0</v>
      </c>
      <c r="C368" s="7" t="s">
        <v>31</v>
      </c>
      <c r="D368" s="7" t="s">
        <v>26</v>
      </c>
      <c r="E368" s="9">
        <v>8457.09</v>
      </c>
      <c r="F368" s="9">
        <v>7653.98</v>
      </c>
      <c r="G368" s="9">
        <v>69189.0</v>
      </c>
      <c r="H368" s="9">
        <v>1438.0</v>
      </c>
      <c r="I368" s="9">
        <v>105.0</v>
      </c>
      <c r="J368" s="9">
        <v>2282.2</v>
      </c>
      <c r="K368" s="10">
        <f t="shared" si="1"/>
        <v>0.02078365058</v>
      </c>
      <c r="L368" s="10">
        <f t="shared" si="2"/>
        <v>5.322656467</v>
      </c>
      <c r="M368" s="10">
        <f t="shared" si="3"/>
        <v>72.89504762</v>
      </c>
      <c r="N368" s="10">
        <f t="shared" si="4"/>
        <v>0.2981716702</v>
      </c>
      <c r="O368" s="10">
        <f t="shared" si="5"/>
        <v>-5371.78</v>
      </c>
      <c r="P368" s="10">
        <f t="shared" si="6"/>
        <v>-235.3772675</v>
      </c>
      <c r="Q368" s="10">
        <f t="shared" si="7"/>
        <v>2025</v>
      </c>
      <c r="R368" s="10">
        <f t="shared" si="8"/>
        <v>3</v>
      </c>
      <c r="S368" s="10" t="str">
        <f t="shared" si="9"/>
        <v>2025-03</v>
      </c>
    </row>
    <row r="369" ht="14.25" customHeight="1">
      <c r="A369" s="7" t="s">
        <v>395</v>
      </c>
      <c r="B369" s="8">
        <v>45747.0</v>
      </c>
      <c r="C369" s="7" t="s">
        <v>31</v>
      </c>
      <c r="D369" s="7" t="s">
        <v>21</v>
      </c>
      <c r="E369" s="9">
        <v>9783.72</v>
      </c>
      <c r="F369" s="9">
        <v>10420.99</v>
      </c>
      <c r="G369" s="9">
        <v>127993.0</v>
      </c>
      <c r="H369" s="9">
        <v>3954.0</v>
      </c>
      <c r="I369" s="9">
        <v>611.0</v>
      </c>
      <c r="J369" s="9">
        <v>29225.7</v>
      </c>
      <c r="K369" s="10">
        <f t="shared" si="1"/>
        <v>0.03089231442</v>
      </c>
      <c r="L369" s="10">
        <f t="shared" si="2"/>
        <v>2.635556399</v>
      </c>
      <c r="M369" s="10">
        <f t="shared" si="3"/>
        <v>17.05563011</v>
      </c>
      <c r="N369" s="10">
        <f t="shared" si="4"/>
        <v>2.804503219</v>
      </c>
      <c r="O369" s="10">
        <f t="shared" si="5"/>
        <v>18804.71</v>
      </c>
      <c r="P369" s="10">
        <f t="shared" si="6"/>
        <v>64.34306107</v>
      </c>
      <c r="Q369" s="10">
        <f t="shared" si="7"/>
        <v>2025</v>
      </c>
      <c r="R369" s="10">
        <f t="shared" si="8"/>
        <v>3</v>
      </c>
      <c r="S369" s="10" t="str">
        <f t="shared" si="9"/>
        <v>2025-03</v>
      </c>
    </row>
    <row r="370" ht="14.25" customHeight="1">
      <c r="A370" s="7" t="s">
        <v>396</v>
      </c>
      <c r="B370" s="8">
        <v>45719.0</v>
      </c>
      <c r="C370" s="7" t="s">
        <v>23</v>
      </c>
      <c r="D370" s="7" t="s">
        <v>26</v>
      </c>
      <c r="E370" s="9">
        <v>9964.35</v>
      </c>
      <c r="F370" s="9">
        <v>8491.31</v>
      </c>
      <c r="G370" s="9">
        <v>124998.0</v>
      </c>
      <c r="H370" s="9">
        <v>5305.0</v>
      </c>
      <c r="I370" s="9">
        <v>1051.0</v>
      </c>
      <c r="J370" s="9">
        <v>33513.51</v>
      </c>
      <c r="K370" s="10">
        <f t="shared" si="1"/>
        <v>0.04244067905</v>
      </c>
      <c r="L370" s="10">
        <f t="shared" si="2"/>
        <v>1.60062394</v>
      </c>
      <c r="M370" s="10">
        <f t="shared" si="3"/>
        <v>8.079267364</v>
      </c>
      <c r="N370" s="10">
        <f t="shared" si="4"/>
        <v>3.946800906</v>
      </c>
      <c r="O370" s="10">
        <f t="shared" si="5"/>
        <v>25022.2</v>
      </c>
      <c r="P370" s="10">
        <f t="shared" si="6"/>
        <v>74.66302396</v>
      </c>
      <c r="Q370" s="10">
        <f t="shared" si="7"/>
        <v>2025</v>
      </c>
      <c r="R370" s="10">
        <f t="shared" si="8"/>
        <v>3</v>
      </c>
      <c r="S370" s="10" t="str">
        <f t="shared" si="9"/>
        <v>2025-03</v>
      </c>
    </row>
    <row r="371" ht="14.25" customHeight="1">
      <c r="A371" s="7" t="s">
        <v>397</v>
      </c>
      <c r="B371" s="8">
        <v>45693.0</v>
      </c>
      <c r="C371" s="7" t="s">
        <v>20</v>
      </c>
      <c r="D371" s="7" t="s">
        <v>21</v>
      </c>
      <c r="E371" s="9">
        <v>8307.67</v>
      </c>
      <c r="F371" s="9">
        <v>8380.83</v>
      </c>
      <c r="G371" s="9">
        <v>107520.0</v>
      </c>
      <c r="H371" s="9">
        <v>2601.0</v>
      </c>
      <c r="I371" s="9">
        <v>369.0</v>
      </c>
      <c r="J371" s="9">
        <v>9083.63</v>
      </c>
      <c r="K371" s="10">
        <f t="shared" si="1"/>
        <v>0.02419084821</v>
      </c>
      <c r="L371" s="10">
        <f t="shared" si="2"/>
        <v>3.222156863</v>
      </c>
      <c r="M371" s="10">
        <f t="shared" si="3"/>
        <v>22.71227642</v>
      </c>
      <c r="N371" s="10">
        <f t="shared" si="4"/>
        <v>1.083858043</v>
      </c>
      <c r="O371" s="10">
        <f t="shared" si="5"/>
        <v>702.8</v>
      </c>
      <c r="P371" s="10">
        <f t="shared" si="6"/>
        <v>7.736995012</v>
      </c>
      <c r="Q371" s="10">
        <f t="shared" si="7"/>
        <v>2025</v>
      </c>
      <c r="R371" s="10">
        <f t="shared" si="8"/>
        <v>2</v>
      </c>
      <c r="S371" s="10" t="str">
        <f t="shared" si="9"/>
        <v>2025-02</v>
      </c>
    </row>
    <row r="372" ht="14.25" customHeight="1">
      <c r="A372" s="7" t="s">
        <v>398</v>
      </c>
      <c r="B372" s="8">
        <v>45655.0</v>
      </c>
      <c r="C372" s="7" t="s">
        <v>28</v>
      </c>
      <c r="D372" s="7" t="s">
        <v>29</v>
      </c>
      <c r="E372" s="9">
        <v>8710.83</v>
      </c>
      <c r="F372" s="9">
        <v>7555.18</v>
      </c>
      <c r="G372" s="9">
        <v>117796.0</v>
      </c>
      <c r="H372" s="9">
        <v>2015.0</v>
      </c>
      <c r="I372" s="9">
        <v>234.0</v>
      </c>
      <c r="J372" s="9">
        <v>6251.2</v>
      </c>
      <c r="K372" s="10">
        <f t="shared" si="1"/>
        <v>0.017105844</v>
      </c>
      <c r="L372" s="10">
        <f t="shared" si="2"/>
        <v>3.749468983</v>
      </c>
      <c r="M372" s="10">
        <f t="shared" si="3"/>
        <v>32.28709402</v>
      </c>
      <c r="N372" s="10">
        <f t="shared" si="4"/>
        <v>0.8274058328</v>
      </c>
      <c r="O372" s="10">
        <f t="shared" si="5"/>
        <v>-1303.98</v>
      </c>
      <c r="P372" s="10">
        <f t="shared" si="6"/>
        <v>-20.85967494</v>
      </c>
      <c r="Q372" s="10">
        <f t="shared" si="7"/>
        <v>2024</v>
      </c>
      <c r="R372" s="10">
        <f t="shared" si="8"/>
        <v>12</v>
      </c>
      <c r="S372" s="10" t="str">
        <f t="shared" si="9"/>
        <v>2024-12</v>
      </c>
    </row>
    <row r="373" ht="14.25" customHeight="1">
      <c r="A373" s="7" t="s">
        <v>399</v>
      </c>
      <c r="B373" s="8">
        <v>45692.0</v>
      </c>
      <c r="C373" s="7" t="s">
        <v>33</v>
      </c>
      <c r="D373" s="7" t="s">
        <v>26</v>
      </c>
      <c r="E373" s="9">
        <v>6758.82</v>
      </c>
      <c r="F373" s="9">
        <v>6609.33</v>
      </c>
      <c r="G373" s="9">
        <v>56417.0</v>
      </c>
      <c r="H373" s="9">
        <v>2121.0</v>
      </c>
      <c r="I373" s="9">
        <v>213.0</v>
      </c>
      <c r="J373" s="9">
        <v>7966.75</v>
      </c>
      <c r="K373" s="10">
        <f t="shared" si="1"/>
        <v>0.03759505114</v>
      </c>
      <c r="L373" s="10">
        <f t="shared" si="2"/>
        <v>3.116138614</v>
      </c>
      <c r="M373" s="10">
        <f t="shared" si="3"/>
        <v>31.02971831</v>
      </c>
      <c r="N373" s="10">
        <f t="shared" si="4"/>
        <v>1.205379365</v>
      </c>
      <c r="O373" s="10">
        <f t="shared" si="5"/>
        <v>1357.42</v>
      </c>
      <c r="P373" s="10">
        <f t="shared" si="6"/>
        <v>17.03856654</v>
      </c>
      <c r="Q373" s="10">
        <f t="shared" si="7"/>
        <v>2025</v>
      </c>
      <c r="R373" s="10">
        <f t="shared" si="8"/>
        <v>2</v>
      </c>
      <c r="S373" s="10" t="str">
        <f t="shared" si="9"/>
        <v>2025-02</v>
      </c>
    </row>
    <row r="374" ht="14.25" customHeight="1">
      <c r="A374" s="7" t="s">
        <v>400</v>
      </c>
      <c r="B374" s="8">
        <v>45698.0</v>
      </c>
      <c r="C374" s="7" t="s">
        <v>23</v>
      </c>
      <c r="D374" s="7" t="s">
        <v>24</v>
      </c>
      <c r="E374" s="9">
        <v>3640.41</v>
      </c>
      <c r="F374" s="9">
        <v>3870.62</v>
      </c>
      <c r="G374" s="9">
        <v>133159.0</v>
      </c>
      <c r="H374" s="9">
        <v>6315.0</v>
      </c>
      <c r="I374" s="9">
        <v>1233.0</v>
      </c>
      <c r="J374" s="9">
        <v>34484.55</v>
      </c>
      <c r="K374" s="10">
        <f t="shared" si="1"/>
        <v>0.04742450754</v>
      </c>
      <c r="L374" s="10">
        <f t="shared" si="2"/>
        <v>0.6129247823</v>
      </c>
      <c r="M374" s="10">
        <f t="shared" si="3"/>
        <v>3.13918897</v>
      </c>
      <c r="N374" s="10">
        <f t="shared" si="4"/>
        <v>8.909309103</v>
      </c>
      <c r="O374" s="10">
        <f t="shared" si="5"/>
        <v>30613.93</v>
      </c>
      <c r="P374" s="10">
        <f t="shared" si="6"/>
        <v>88.7757851</v>
      </c>
      <c r="Q374" s="10">
        <f t="shared" si="7"/>
        <v>2025</v>
      </c>
      <c r="R374" s="10">
        <f t="shared" si="8"/>
        <v>2</v>
      </c>
      <c r="S374" s="10" t="str">
        <f t="shared" si="9"/>
        <v>2025-02</v>
      </c>
    </row>
    <row r="375" ht="14.25" customHeight="1">
      <c r="A375" s="7" t="s">
        <v>401</v>
      </c>
      <c r="B375" s="8">
        <v>45785.0</v>
      </c>
      <c r="C375" s="7" t="s">
        <v>33</v>
      </c>
      <c r="D375" s="7" t="s">
        <v>29</v>
      </c>
      <c r="E375" s="9">
        <v>3906.6</v>
      </c>
      <c r="F375" s="9">
        <v>4166.87</v>
      </c>
      <c r="G375" s="9">
        <v>184724.0</v>
      </c>
      <c r="H375" s="9">
        <v>5850.0</v>
      </c>
      <c r="I375" s="9">
        <v>633.0</v>
      </c>
      <c r="J375" s="9">
        <v>30807.82</v>
      </c>
      <c r="K375" s="10">
        <f t="shared" si="1"/>
        <v>0.03166886815</v>
      </c>
      <c r="L375" s="10">
        <f t="shared" si="2"/>
        <v>0.7122854701</v>
      </c>
      <c r="M375" s="10">
        <f t="shared" si="3"/>
        <v>6.582733017</v>
      </c>
      <c r="N375" s="10">
        <f t="shared" si="4"/>
        <v>7.393515996</v>
      </c>
      <c r="O375" s="10">
        <f t="shared" si="5"/>
        <v>26640.95</v>
      </c>
      <c r="P375" s="10">
        <f t="shared" si="6"/>
        <v>86.47463534</v>
      </c>
      <c r="Q375" s="10">
        <f t="shared" si="7"/>
        <v>2025</v>
      </c>
      <c r="R375" s="10">
        <f t="shared" si="8"/>
        <v>5</v>
      </c>
      <c r="S375" s="10" t="str">
        <f t="shared" si="9"/>
        <v>2025-05</v>
      </c>
    </row>
    <row r="376" ht="14.25" customHeight="1">
      <c r="A376" s="7" t="s">
        <v>402</v>
      </c>
      <c r="B376" s="8">
        <v>45644.0</v>
      </c>
      <c r="C376" s="7" t="s">
        <v>23</v>
      </c>
      <c r="D376" s="7" t="s">
        <v>24</v>
      </c>
      <c r="E376" s="9">
        <v>9034.89</v>
      </c>
      <c r="F376" s="9">
        <v>9422.08</v>
      </c>
      <c r="G376" s="9">
        <v>184680.0</v>
      </c>
      <c r="H376" s="9">
        <v>7103.0</v>
      </c>
      <c r="I376" s="9">
        <v>104.0</v>
      </c>
      <c r="J376" s="9">
        <v>4124.35</v>
      </c>
      <c r="K376" s="10">
        <f t="shared" si="1"/>
        <v>0.03846112194</v>
      </c>
      <c r="L376" s="10">
        <f t="shared" si="2"/>
        <v>1.326493031</v>
      </c>
      <c r="M376" s="10">
        <f t="shared" si="3"/>
        <v>90.59692308</v>
      </c>
      <c r="N376" s="10">
        <f t="shared" si="4"/>
        <v>0.4377324328</v>
      </c>
      <c r="O376" s="10">
        <f t="shared" si="5"/>
        <v>-5297.73</v>
      </c>
      <c r="P376" s="10">
        <f t="shared" si="6"/>
        <v>-128.4500588</v>
      </c>
      <c r="Q376" s="10">
        <f t="shared" si="7"/>
        <v>2024</v>
      </c>
      <c r="R376" s="10">
        <f t="shared" si="8"/>
        <v>12</v>
      </c>
      <c r="S376" s="10" t="str">
        <f t="shared" si="9"/>
        <v>2024-12</v>
      </c>
    </row>
    <row r="377" ht="14.25" customHeight="1">
      <c r="A377" s="7" t="s">
        <v>403</v>
      </c>
      <c r="B377" s="8">
        <v>45743.0</v>
      </c>
      <c r="C377" s="7" t="s">
        <v>33</v>
      </c>
      <c r="D377" s="7" t="s">
        <v>21</v>
      </c>
      <c r="E377" s="9">
        <v>6856.0</v>
      </c>
      <c r="F377" s="9">
        <v>5663.71</v>
      </c>
      <c r="G377" s="9">
        <v>89044.0</v>
      </c>
      <c r="H377" s="9">
        <v>2861.0</v>
      </c>
      <c r="I377" s="9">
        <v>262.0</v>
      </c>
      <c r="J377" s="9">
        <v>8450.44</v>
      </c>
      <c r="K377" s="10">
        <f t="shared" si="1"/>
        <v>0.03213018283</v>
      </c>
      <c r="L377" s="10">
        <f t="shared" si="2"/>
        <v>1.979626005</v>
      </c>
      <c r="M377" s="10">
        <f t="shared" si="3"/>
        <v>21.61721374</v>
      </c>
      <c r="N377" s="10">
        <f t="shared" si="4"/>
        <v>1.492032608</v>
      </c>
      <c r="O377" s="10">
        <f t="shared" si="5"/>
        <v>2786.73</v>
      </c>
      <c r="P377" s="10">
        <f t="shared" si="6"/>
        <v>32.97733609</v>
      </c>
      <c r="Q377" s="10">
        <f t="shared" si="7"/>
        <v>2025</v>
      </c>
      <c r="R377" s="10">
        <f t="shared" si="8"/>
        <v>3</v>
      </c>
      <c r="S377" s="10" t="str">
        <f t="shared" si="9"/>
        <v>2025-03</v>
      </c>
    </row>
    <row r="378" ht="14.25" customHeight="1">
      <c r="A378" s="7" t="s">
        <v>404</v>
      </c>
      <c r="B378" s="8">
        <v>45654.0</v>
      </c>
      <c r="C378" s="7" t="s">
        <v>33</v>
      </c>
      <c r="D378" s="7" t="s">
        <v>29</v>
      </c>
      <c r="E378" s="9">
        <v>5608.82</v>
      </c>
      <c r="F378" s="9">
        <v>4924.13</v>
      </c>
      <c r="G378" s="9">
        <v>146101.0</v>
      </c>
      <c r="H378" s="9">
        <v>1999.0</v>
      </c>
      <c r="I378" s="9">
        <v>79.0</v>
      </c>
      <c r="J378" s="9">
        <v>3294.51</v>
      </c>
      <c r="K378" s="10">
        <f t="shared" si="1"/>
        <v>0.01368231566</v>
      </c>
      <c r="L378" s="10">
        <f t="shared" si="2"/>
        <v>2.463296648</v>
      </c>
      <c r="M378" s="10">
        <f t="shared" si="3"/>
        <v>62.33075949</v>
      </c>
      <c r="N378" s="10">
        <f t="shared" si="4"/>
        <v>0.6690542289</v>
      </c>
      <c r="O378" s="10">
        <f t="shared" si="5"/>
        <v>-1629.62</v>
      </c>
      <c r="P378" s="10">
        <f t="shared" si="6"/>
        <v>-49.46471554</v>
      </c>
      <c r="Q378" s="10">
        <f t="shared" si="7"/>
        <v>2024</v>
      </c>
      <c r="R378" s="10">
        <f t="shared" si="8"/>
        <v>12</v>
      </c>
      <c r="S378" s="10" t="str">
        <f t="shared" si="9"/>
        <v>2024-12</v>
      </c>
    </row>
    <row r="379" ht="14.25" customHeight="1">
      <c r="A379" s="7" t="s">
        <v>405</v>
      </c>
      <c r="B379" s="8">
        <v>45675.0</v>
      </c>
      <c r="C379" s="7" t="s">
        <v>23</v>
      </c>
      <c r="D379" s="7" t="s">
        <v>24</v>
      </c>
      <c r="E379" s="9">
        <v>6471.13</v>
      </c>
      <c r="F379" s="9">
        <v>5334.24</v>
      </c>
      <c r="G379" s="9">
        <v>130452.0</v>
      </c>
      <c r="H379" s="9">
        <v>4881.0</v>
      </c>
      <c r="I379" s="9">
        <v>864.0</v>
      </c>
      <c r="J379" s="9">
        <v>22987.15</v>
      </c>
      <c r="K379" s="10">
        <f t="shared" si="1"/>
        <v>0.03741606108</v>
      </c>
      <c r="L379" s="10">
        <f t="shared" si="2"/>
        <v>1.092858021</v>
      </c>
      <c r="M379" s="10">
        <f t="shared" si="3"/>
        <v>6.173888889</v>
      </c>
      <c r="N379" s="10">
        <f t="shared" si="4"/>
        <v>4.309358034</v>
      </c>
      <c r="O379" s="10">
        <f t="shared" si="5"/>
        <v>17652.91</v>
      </c>
      <c r="P379" s="10">
        <f t="shared" si="6"/>
        <v>76.79468747</v>
      </c>
      <c r="Q379" s="10">
        <f t="shared" si="7"/>
        <v>2025</v>
      </c>
      <c r="R379" s="10">
        <f t="shared" si="8"/>
        <v>1</v>
      </c>
      <c r="S379" s="10" t="str">
        <f t="shared" si="9"/>
        <v>2025-01</v>
      </c>
    </row>
    <row r="380" ht="14.25" customHeight="1">
      <c r="A380" s="7" t="s">
        <v>406</v>
      </c>
      <c r="B380" s="8">
        <v>45766.0</v>
      </c>
      <c r="C380" s="7" t="s">
        <v>28</v>
      </c>
      <c r="D380" s="7" t="s">
        <v>29</v>
      </c>
      <c r="E380" s="9">
        <v>7782.81</v>
      </c>
      <c r="F380" s="9">
        <v>6404.0</v>
      </c>
      <c r="G380" s="9">
        <v>115837.0</v>
      </c>
      <c r="H380" s="9">
        <v>5035.0</v>
      </c>
      <c r="I380" s="9">
        <v>407.0</v>
      </c>
      <c r="J380" s="9">
        <v>18533.24</v>
      </c>
      <c r="K380" s="10">
        <f t="shared" si="1"/>
        <v>0.04346624999</v>
      </c>
      <c r="L380" s="10">
        <f t="shared" si="2"/>
        <v>1.271896723</v>
      </c>
      <c r="M380" s="10">
        <f t="shared" si="3"/>
        <v>15.73464373</v>
      </c>
      <c r="N380" s="10">
        <f t="shared" si="4"/>
        <v>2.894009994</v>
      </c>
      <c r="O380" s="10">
        <f t="shared" si="5"/>
        <v>12129.24</v>
      </c>
      <c r="P380" s="10">
        <f t="shared" si="6"/>
        <v>65.44586915</v>
      </c>
      <c r="Q380" s="10">
        <f t="shared" si="7"/>
        <v>2025</v>
      </c>
      <c r="R380" s="10">
        <f t="shared" si="8"/>
        <v>4</v>
      </c>
      <c r="S380" s="10" t="str">
        <f t="shared" si="9"/>
        <v>2025-04</v>
      </c>
    </row>
    <row r="381" ht="14.25" customHeight="1">
      <c r="A381" s="7" t="s">
        <v>407</v>
      </c>
      <c r="B381" s="8">
        <v>45787.0</v>
      </c>
      <c r="C381" s="7" t="s">
        <v>20</v>
      </c>
      <c r="D381" s="7" t="s">
        <v>21</v>
      </c>
      <c r="E381" s="9">
        <v>6466.03</v>
      </c>
      <c r="F381" s="9">
        <v>6105.07</v>
      </c>
      <c r="G381" s="9">
        <v>186219.0</v>
      </c>
      <c r="H381" s="9">
        <v>6823.0</v>
      </c>
      <c r="I381" s="9">
        <v>526.0</v>
      </c>
      <c r="J381" s="9">
        <v>19868.19</v>
      </c>
      <c r="K381" s="10">
        <f t="shared" si="1"/>
        <v>0.03663965546</v>
      </c>
      <c r="L381" s="10">
        <f t="shared" si="2"/>
        <v>0.8947779569</v>
      </c>
      <c r="M381" s="10">
        <f t="shared" si="3"/>
        <v>11.60659696</v>
      </c>
      <c r="N381" s="10">
        <f t="shared" si="4"/>
        <v>3.254375462</v>
      </c>
      <c r="O381" s="10">
        <f t="shared" si="5"/>
        <v>13763.12</v>
      </c>
      <c r="P381" s="10">
        <f t="shared" si="6"/>
        <v>69.27213803</v>
      </c>
      <c r="Q381" s="10">
        <f t="shared" si="7"/>
        <v>2025</v>
      </c>
      <c r="R381" s="10">
        <f t="shared" si="8"/>
        <v>5</v>
      </c>
      <c r="S381" s="10" t="str">
        <f t="shared" si="9"/>
        <v>2025-05</v>
      </c>
    </row>
    <row r="382" ht="14.25" customHeight="1">
      <c r="A382" s="7" t="s">
        <v>408</v>
      </c>
      <c r="B382" s="8">
        <v>45693.0</v>
      </c>
      <c r="C382" s="7" t="s">
        <v>28</v>
      </c>
      <c r="D382" s="7" t="s">
        <v>26</v>
      </c>
      <c r="E382" s="9">
        <v>8772.77</v>
      </c>
      <c r="F382" s="9">
        <v>7933.59</v>
      </c>
      <c r="G382" s="9">
        <v>165044.0</v>
      </c>
      <c r="H382" s="9">
        <v>3343.0</v>
      </c>
      <c r="I382" s="9">
        <v>448.0</v>
      </c>
      <c r="J382" s="9">
        <v>18072.54</v>
      </c>
      <c r="K382" s="10">
        <f t="shared" si="1"/>
        <v>0.02025520467</v>
      </c>
      <c r="L382" s="10">
        <f t="shared" si="2"/>
        <v>2.373194735</v>
      </c>
      <c r="M382" s="10">
        <f t="shared" si="3"/>
        <v>17.70890625</v>
      </c>
      <c r="N382" s="10">
        <f t="shared" si="4"/>
        <v>2.277977561</v>
      </c>
      <c r="O382" s="10">
        <f t="shared" si="5"/>
        <v>10138.95</v>
      </c>
      <c r="P382" s="10">
        <f t="shared" si="6"/>
        <v>56.10141131</v>
      </c>
      <c r="Q382" s="10">
        <f t="shared" si="7"/>
        <v>2025</v>
      </c>
      <c r="R382" s="10">
        <f t="shared" si="8"/>
        <v>2</v>
      </c>
      <c r="S382" s="10" t="str">
        <f t="shared" si="9"/>
        <v>2025-02</v>
      </c>
    </row>
    <row r="383" ht="14.25" customHeight="1">
      <c r="A383" s="7" t="s">
        <v>409</v>
      </c>
      <c r="B383" s="8">
        <v>45762.0</v>
      </c>
      <c r="C383" s="7" t="s">
        <v>20</v>
      </c>
      <c r="D383" s="7" t="s">
        <v>26</v>
      </c>
      <c r="E383" s="9">
        <v>6960.12</v>
      </c>
      <c r="F383" s="9">
        <v>6125.66</v>
      </c>
      <c r="G383" s="9">
        <v>181245.0</v>
      </c>
      <c r="H383" s="9">
        <v>4787.0</v>
      </c>
      <c r="I383" s="9">
        <v>615.0</v>
      </c>
      <c r="J383" s="9">
        <v>28510.72</v>
      </c>
      <c r="K383" s="10">
        <f t="shared" si="1"/>
        <v>0.02641176308</v>
      </c>
      <c r="L383" s="10">
        <f t="shared" si="2"/>
        <v>1.279644872</v>
      </c>
      <c r="M383" s="10">
        <f t="shared" si="3"/>
        <v>9.960422764</v>
      </c>
      <c r="N383" s="10">
        <f t="shared" si="4"/>
        <v>4.654309903</v>
      </c>
      <c r="O383" s="10">
        <f t="shared" si="5"/>
        <v>22385.06</v>
      </c>
      <c r="P383" s="10">
        <f t="shared" si="6"/>
        <v>78.51453769</v>
      </c>
      <c r="Q383" s="10">
        <f t="shared" si="7"/>
        <v>2025</v>
      </c>
      <c r="R383" s="10">
        <f t="shared" si="8"/>
        <v>4</v>
      </c>
      <c r="S383" s="10" t="str">
        <f t="shared" si="9"/>
        <v>2025-04</v>
      </c>
    </row>
    <row r="384" ht="14.25" customHeight="1">
      <c r="A384" s="7" t="s">
        <v>410</v>
      </c>
      <c r="B384" s="8">
        <v>45815.0</v>
      </c>
      <c r="C384" s="7" t="s">
        <v>31</v>
      </c>
      <c r="D384" s="7" t="s">
        <v>29</v>
      </c>
      <c r="E384" s="9">
        <v>8581.98</v>
      </c>
      <c r="F384" s="9">
        <v>8560.83</v>
      </c>
      <c r="G384" s="9">
        <v>125026.0</v>
      </c>
      <c r="H384" s="9">
        <v>4106.0</v>
      </c>
      <c r="I384" s="9">
        <v>468.0</v>
      </c>
      <c r="J384" s="9">
        <v>21302.17</v>
      </c>
      <c r="K384" s="10">
        <f t="shared" si="1"/>
        <v>0.03284116904</v>
      </c>
      <c r="L384" s="10">
        <f t="shared" si="2"/>
        <v>2.084956162</v>
      </c>
      <c r="M384" s="10">
        <f t="shared" si="3"/>
        <v>18.29237179</v>
      </c>
      <c r="N384" s="10">
        <f t="shared" si="4"/>
        <v>2.488329987</v>
      </c>
      <c r="O384" s="10">
        <f t="shared" si="5"/>
        <v>12741.34</v>
      </c>
      <c r="P384" s="10">
        <f t="shared" si="6"/>
        <v>59.81240409</v>
      </c>
      <c r="Q384" s="10">
        <f t="shared" si="7"/>
        <v>2025</v>
      </c>
      <c r="R384" s="10">
        <f t="shared" si="8"/>
        <v>6</v>
      </c>
      <c r="S384" s="10" t="str">
        <f t="shared" si="9"/>
        <v>2025-06</v>
      </c>
    </row>
    <row r="385" ht="14.25" customHeight="1">
      <c r="A385" s="7" t="s">
        <v>411</v>
      </c>
      <c r="B385" s="8">
        <v>45699.0</v>
      </c>
      <c r="C385" s="7" t="s">
        <v>23</v>
      </c>
      <c r="D385" s="7" t="s">
        <v>26</v>
      </c>
      <c r="E385" s="9">
        <v>9071.06</v>
      </c>
      <c r="F385" s="9">
        <v>9184.53</v>
      </c>
      <c r="G385" s="9">
        <v>172320.0</v>
      </c>
      <c r="H385" s="9">
        <v>5189.0</v>
      </c>
      <c r="I385" s="9">
        <v>470.0</v>
      </c>
      <c r="J385" s="9">
        <v>21201.89</v>
      </c>
      <c r="K385" s="10">
        <f t="shared" si="1"/>
        <v>0.03011258124</v>
      </c>
      <c r="L385" s="10">
        <f t="shared" si="2"/>
        <v>1.77</v>
      </c>
      <c r="M385" s="10">
        <f t="shared" si="3"/>
        <v>19.54155319</v>
      </c>
      <c r="N385" s="10">
        <f t="shared" si="4"/>
        <v>2.308434944</v>
      </c>
      <c r="O385" s="10">
        <f t="shared" si="5"/>
        <v>12017.36</v>
      </c>
      <c r="P385" s="10">
        <f t="shared" si="6"/>
        <v>56.68060725</v>
      </c>
      <c r="Q385" s="10">
        <f t="shared" si="7"/>
        <v>2025</v>
      </c>
      <c r="R385" s="10">
        <f t="shared" si="8"/>
        <v>2</v>
      </c>
      <c r="S385" s="10" t="str">
        <f t="shared" si="9"/>
        <v>2025-02</v>
      </c>
    </row>
    <row r="386" ht="14.25" customHeight="1">
      <c r="A386" s="7" t="s">
        <v>412</v>
      </c>
      <c r="B386" s="8">
        <v>45752.0</v>
      </c>
      <c r="C386" s="7" t="s">
        <v>20</v>
      </c>
      <c r="D386" s="7" t="s">
        <v>29</v>
      </c>
      <c r="E386" s="9">
        <v>7882.3</v>
      </c>
      <c r="F386" s="9">
        <v>7914.16</v>
      </c>
      <c r="G386" s="9">
        <v>169951.0</v>
      </c>
      <c r="H386" s="9">
        <v>5839.0</v>
      </c>
      <c r="I386" s="9">
        <v>987.0</v>
      </c>
      <c r="J386" s="9">
        <v>38057.08</v>
      </c>
      <c r="K386" s="10">
        <f t="shared" si="1"/>
        <v>0.03435696171</v>
      </c>
      <c r="L386" s="10">
        <f t="shared" si="2"/>
        <v>1.355396472</v>
      </c>
      <c r="M386" s="10">
        <f t="shared" si="3"/>
        <v>8.018399189</v>
      </c>
      <c r="N386" s="10">
        <f t="shared" si="4"/>
        <v>4.808732702</v>
      </c>
      <c r="O386" s="10">
        <f t="shared" si="5"/>
        <v>30142.92</v>
      </c>
      <c r="P386" s="10">
        <f t="shared" si="6"/>
        <v>79.20450019</v>
      </c>
      <c r="Q386" s="10">
        <f t="shared" si="7"/>
        <v>2025</v>
      </c>
      <c r="R386" s="10">
        <f t="shared" si="8"/>
        <v>4</v>
      </c>
      <c r="S386" s="10" t="str">
        <f t="shared" si="9"/>
        <v>2025-04</v>
      </c>
    </row>
    <row r="387" ht="14.25" customHeight="1">
      <c r="A387" s="7" t="s">
        <v>413</v>
      </c>
      <c r="B387" s="8">
        <v>45758.0</v>
      </c>
      <c r="C387" s="7" t="s">
        <v>20</v>
      </c>
      <c r="D387" s="7" t="s">
        <v>24</v>
      </c>
      <c r="E387" s="9">
        <v>8269.02</v>
      </c>
      <c r="F387" s="9">
        <v>7008.67</v>
      </c>
      <c r="G387" s="9">
        <v>117094.0</v>
      </c>
      <c r="H387" s="9">
        <v>1370.0</v>
      </c>
      <c r="I387" s="9">
        <v>194.0</v>
      </c>
      <c r="J387" s="9">
        <v>9006.67</v>
      </c>
      <c r="K387" s="10">
        <f t="shared" si="1"/>
        <v>0.01170000171</v>
      </c>
      <c r="L387" s="10">
        <f t="shared" si="2"/>
        <v>5.115817518</v>
      </c>
      <c r="M387" s="10">
        <f t="shared" si="3"/>
        <v>36.12716495</v>
      </c>
      <c r="N387" s="10">
        <f t="shared" si="4"/>
        <v>1.285075485</v>
      </c>
      <c r="O387" s="10">
        <f t="shared" si="5"/>
        <v>1998</v>
      </c>
      <c r="P387" s="10">
        <f t="shared" si="6"/>
        <v>22.18355952</v>
      </c>
      <c r="Q387" s="10">
        <f t="shared" si="7"/>
        <v>2025</v>
      </c>
      <c r="R387" s="10">
        <f t="shared" si="8"/>
        <v>4</v>
      </c>
      <c r="S387" s="10" t="str">
        <f t="shared" si="9"/>
        <v>2025-04</v>
      </c>
    </row>
    <row r="388" ht="14.25" customHeight="1">
      <c r="A388" s="7" t="s">
        <v>414</v>
      </c>
      <c r="B388" s="8">
        <v>45752.0</v>
      </c>
      <c r="C388" s="7" t="s">
        <v>28</v>
      </c>
      <c r="D388" s="7" t="s">
        <v>24</v>
      </c>
      <c r="E388" s="9">
        <v>9102.9</v>
      </c>
      <c r="F388" s="9">
        <v>7362.19</v>
      </c>
      <c r="G388" s="9">
        <v>54766.0</v>
      </c>
      <c r="H388" s="9">
        <v>2723.0</v>
      </c>
      <c r="I388" s="9">
        <v>466.0</v>
      </c>
      <c r="J388" s="9">
        <v>20864.92</v>
      </c>
      <c r="K388" s="10">
        <f t="shared" si="1"/>
        <v>0.04972062959</v>
      </c>
      <c r="L388" s="10">
        <f t="shared" si="2"/>
        <v>2.703705472</v>
      </c>
      <c r="M388" s="10">
        <f t="shared" si="3"/>
        <v>15.79869099</v>
      </c>
      <c r="N388" s="10">
        <f t="shared" si="4"/>
        <v>2.834064321</v>
      </c>
      <c r="O388" s="10">
        <f t="shared" si="5"/>
        <v>13502.73</v>
      </c>
      <c r="P388" s="10">
        <f t="shared" si="6"/>
        <v>64.71498573</v>
      </c>
      <c r="Q388" s="10">
        <f t="shared" si="7"/>
        <v>2025</v>
      </c>
      <c r="R388" s="10">
        <f t="shared" si="8"/>
        <v>4</v>
      </c>
      <c r="S388" s="10" t="str">
        <f t="shared" si="9"/>
        <v>2025-04</v>
      </c>
    </row>
    <row r="389" ht="14.25" customHeight="1">
      <c r="A389" s="7" t="s">
        <v>415</v>
      </c>
      <c r="B389" s="8">
        <v>45667.0</v>
      </c>
      <c r="C389" s="7" t="s">
        <v>28</v>
      </c>
      <c r="D389" s="7" t="s">
        <v>29</v>
      </c>
      <c r="E389" s="9">
        <v>3902.09</v>
      </c>
      <c r="F389" s="9">
        <v>3513.97</v>
      </c>
      <c r="G389" s="9">
        <v>197025.0</v>
      </c>
      <c r="H389" s="9">
        <v>6420.0</v>
      </c>
      <c r="I389" s="9">
        <v>253.0</v>
      </c>
      <c r="J389" s="9">
        <v>10703.23</v>
      </c>
      <c r="K389" s="10">
        <f t="shared" si="1"/>
        <v>0.03258469737</v>
      </c>
      <c r="L389" s="10">
        <f t="shared" si="2"/>
        <v>0.547347352</v>
      </c>
      <c r="M389" s="10">
        <f t="shared" si="3"/>
        <v>13.88920949</v>
      </c>
      <c r="N389" s="10">
        <f t="shared" si="4"/>
        <v>3.045908189</v>
      </c>
      <c r="O389" s="10">
        <f t="shared" si="5"/>
        <v>7189.26</v>
      </c>
      <c r="P389" s="10">
        <f t="shared" si="6"/>
        <v>67.16906952</v>
      </c>
      <c r="Q389" s="10">
        <f t="shared" si="7"/>
        <v>2025</v>
      </c>
      <c r="R389" s="10">
        <f t="shared" si="8"/>
        <v>1</v>
      </c>
      <c r="S389" s="10" t="str">
        <f t="shared" si="9"/>
        <v>2025-01</v>
      </c>
    </row>
    <row r="390" ht="14.25" customHeight="1">
      <c r="A390" s="7" t="s">
        <v>416</v>
      </c>
      <c r="B390" s="8">
        <v>45716.0</v>
      </c>
      <c r="C390" s="7" t="s">
        <v>20</v>
      </c>
      <c r="D390" s="7" t="s">
        <v>24</v>
      </c>
      <c r="E390" s="9">
        <v>4125.32</v>
      </c>
      <c r="F390" s="9">
        <v>4312.57</v>
      </c>
      <c r="G390" s="9">
        <v>119124.0</v>
      </c>
      <c r="H390" s="9">
        <v>3940.0</v>
      </c>
      <c r="I390" s="9">
        <v>727.0</v>
      </c>
      <c r="J390" s="9">
        <v>32688.85</v>
      </c>
      <c r="K390" s="10">
        <f t="shared" si="1"/>
        <v>0.03307477922</v>
      </c>
      <c r="L390" s="10">
        <f t="shared" si="2"/>
        <v>1.094560914</v>
      </c>
      <c r="M390" s="10">
        <f t="shared" si="3"/>
        <v>5.932008253</v>
      </c>
      <c r="N390" s="10">
        <f t="shared" si="4"/>
        <v>7.579900152</v>
      </c>
      <c r="O390" s="10">
        <f t="shared" si="5"/>
        <v>28376.28</v>
      </c>
      <c r="P390" s="10">
        <f t="shared" si="6"/>
        <v>86.80721408</v>
      </c>
      <c r="Q390" s="10">
        <f t="shared" si="7"/>
        <v>2025</v>
      </c>
      <c r="R390" s="10">
        <f t="shared" si="8"/>
        <v>2</v>
      </c>
      <c r="S390" s="10" t="str">
        <f t="shared" si="9"/>
        <v>2025-02</v>
      </c>
    </row>
    <row r="391" ht="14.25" customHeight="1">
      <c r="A391" s="7" t="s">
        <v>417</v>
      </c>
      <c r="B391" s="8">
        <v>45815.0</v>
      </c>
      <c r="C391" s="7" t="s">
        <v>28</v>
      </c>
      <c r="D391" s="7" t="s">
        <v>29</v>
      </c>
      <c r="E391" s="9">
        <v>6552.27</v>
      </c>
      <c r="F391" s="9">
        <v>5254.37</v>
      </c>
      <c r="G391" s="9">
        <v>68519.0</v>
      </c>
      <c r="H391" s="9">
        <v>3190.0</v>
      </c>
      <c r="I391" s="9">
        <v>282.0</v>
      </c>
      <c r="J391" s="9">
        <v>8068.34</v>
      </c>
      <c r="K391" s="10">
        <f t="shared" si="1"/>
        <v>0.0465564296</v>
      </c>
      <c r="L391" s="10">
        <f t="shared" si="2"/>
        <v>1.647137931</v>
      </c>
      <c r="M391" s="10">
        <f t="shared" si="3"/>
        <v>18.63251773</v>
      </c>
      <c r="N391" s="10">
        <f t="shared" si="4"/>
        <v>1.535548505</v>
      </c>
      <c r="O391" s="10">
        <f t="shared" si="5"/>
        <v>2813.97</v>
      </c>
      <c r="P391" s="10">
        <f t="shared" si="6"/>
        <v>34.87669087</v>
      </c>
      <c r="Q391" s="10">
        <f t="shared" si="7"/>
        <v>2025</v>
      </c>
      <c r="R391" s="10">
        <f t="shared" si="8"/>
        <v>6</v>
      </c>
      <c r="S391" s="10" t="str">
        <f t="shared" si="9"/>
        <v>2025-06</v>
      </c>
    </row>
    <row r="392" ht="14.25" customHeight="1">
      <c r="A392" s="7" t="s">
        <v>418</v>
      </c>
      <c r="B392" s="8">
        <v>45697.0</v>
      </c>
      <c r="C392" s="7" t="s">
        <v>20</v>
      </c>
      <c r="D392" s="7" t="s">
        <v>29</v>
      </c>
      <c r="E392" s="9">
        <v>7318.49</v>
      </c>
      <c r="F392" s="9">
        <v>8009.03</v>
      </c>
      <c r="G392" s="9">
        <v>140986.0</v>
      </c>
      <c r="H392" s="9">
        <v>2922.0</v>
      </c>
      <c r="I392" s="9">
        <v>339.0</v>
      </c>
      <c r="J392" s="9">
        <v>13205.54</v>
      </c>
      <c r="K392" s="10">
        <f t="shared" si="1"/>
        <v>0.0207254621</v>
      </c>
      <c r="L392" s="10">
        <f t="shared" si="2"/>
        <v>2.740941136</v>
      </c>
      <c r="M392" s="10">
        <f t="shared" si="3"/>
        <v>23.62545723</v>
      </c>
      <c r="N392" s="10">
        <f t="shared" si="4"/>
        <v>1.648831382</v>
      </c>
      <c r="O392" s="10">
        <f t="shared" si="5"/>
        <v>5196.51</v>
      </c>
      <c r="P392" s="10">
        <f t="shared" si="6"/>
        <v>39.35098451</v>
      </c>
      <c r="Q392" s="10">
        <f t="shared" si="7"/>
        <v>2025</v>
      </c>
      <c r="R392" s="10">
        <f t="shared" si="8"/>
        <v>2</v>
      </c>
      <c r="S392" s="10" t="str">
        <f t="shared" si="9"/>
        <v>2025-02</v>
      </c>
    </row>
    <row r="393" ht="14.25" customHeight="1">
      <c r="A393" s="7" t="s">
        <v>419</v>
      </c>
      <c r="B393" s="8">
        <v>45762.0</v>
      </c>
      <c r="C393" s="7" t="s">
        <v>20</v>
      </c>
      <c r="D393" s="7" t="s">
        <v>29</v>
      </c>
      <c r="E393" s="9">
        <v>4818.63</v>
      </c>
      <c r="F393" s="9">
        <v>4771.42</v>
      </c>
      <c r="G393" s="9">
        <v>175888.0</v>
      </c>
      <c r="H393" s="9">
        <v>8565.0</v>
      </c>
      <c r="I393" s="9">
        <v>610.0</v>
      </c>
      <c r="J393" s="9">
        <v>22081.73</v>
      </c>
      <c r="K393" s="10">
        <f t="shared" si="1"/>
        <v>0.04869576094</v>
      </c>
      <c r="L393" s="10">
        <f t="shared" si="2"/>
        <v>0.5570834793</v>
      </c>
      <c r="M393" s="10">
        <f t="shared" si="3"/>
        <v>7.822</v>
      </c>
      <c r="N393" s="10">
        <f t="shared" si="4"/>
        <v>4.627915799</v>
      </c>
      <c r="O393" s="10">
        <f t="shared" si="5"/>
        <v>17310.31</v>
      </c>
      <c r="P393" s="10">
        <f t="shared" si="6"/>
        <v>78.39200099</v>
      </c>
      <c r="Q393" s="10">
        <f t="shared" si="7"/>
        <v>2025</v>
      </c>
      <c r="R393" s="10">
        <f t="shared" si="8"/>
        <v>4</v>
      </c>
      <c r="S393" s="10" t="str">
        <f t="shared" si="9"/>
        <v>2025-04</v>
      </c>
    </row>
    <row r="394" ht="14.25" customHeight="1">
      <c r="A394" s="7" t="s">
        <v>420</v>
      </c>
      <c r="B394" s="8">
        <v>45645.0</v>
      </c>
      <c r="C394" s="7" t="s">
        <v>23</v>
      </c>
      <c r="D394" s="7" t="s">
        <v>24</v>
      </c>
      <c r="E394" s="9">
        <v>8458.92</v>
      </c>
      <c r="F394" s="9">
        <v>7038.62</v>
      </c>
      <c r="G394" s="9">
        <v>187533.0</v>
      </c>
      <c r="H394" s="9">
        <v>7387.0</v>
      </c>
      <c r="I394" s="9">
        <v>925.0</v>
      </c>
      <c r="J394" s="9">
        <v>39618.52</v>
      </c>
      <c r="K394" s="10">
        <f t="shared" si="1"/>
        <v>0.03939040062</v>
      </c>
      <c r="L394" s="10">
        <f t="shared" si="2"/>
        <v>0.9528387708</v>
      </c>
      <c r="M394" s="10">
        <f t="shared" si="3"/>
        <v>7.609318919</v>
      </c>
      <c r="N394" s="10">
        <f t="shared" si="4"/>
        <v>5.628734042</v>
      </c>
      <c r="O394" s="10">
        <f t="shared" si="5"/>
        <v>32579.9</v>
      </c>
      <c r="P394" s="10">
        <f t="shared" si="6"/>
        <v>82.23401581</v>
      </c>
      <c r="Q394" s="10">
        <f t="shared" si="7"/>
        <v>2024</v>
      </c>
      <c r="R394" s="10">
        <f t="shared" si="8"/>
        <v>12</v>
      </c>
      <c r="S394" s="10" t="str">
        <f t="shared" si="9"/>
        <v>2024-12</v>
      </c>
    </row>
    <row r="395" ht="14.25" customHeight="1">
      <c r="A395" s="7" t="s">
        <v>421</v>
      </c>
      <c r="B395" s="8">
        <v>45727.0</v>
      </c>
      <c r="C395" s="7" t="s">
        <v>31</v>
      </c>
      <c r="D395" s="7" t="s">
        <v>24</v>
      </c>
      <c r="E395" s="9">
        <v>6788.87</v>
      </c>
      <c r="F395" s="9">
        <v>7392.38</v>
      </c>
      <c r="G395" s="9">
        <v>91252.0</v>
      </c>
      <c r="H395" s="9">
        <v>1758.0</v>
      </c>
      <c r="I395" s="9">
        <v>270.0</v>
      </c>
      <c r="J395" s="9">
        <v>8169.16</v>
      </c>
      <c r="K395" s="10">
        <f t="shared" si="1"/>
        <v>0.01926533117</v>
      </c>
      <c r="L395" s="10">
        <f t="shared" si="2"/>
        <v>4.204994312</v>
      </c>
      <c r="M395" s="10">
        <f t="shared" si="3"/>
        <v>27.37918519</v>
      </c>
      <c r="N395" s="10">
        <f t="shared" si="4"/>
        <v>1.105078473</v>
      </c>
      <c r="O395" s="10">
        <f t="shared" si="5"/>
        <v>776.78</v>
      </c>
      <c r="P395" s="10">
        <f t="shared" si="6"/>
        <v>9.508688776</v>
      </c>
      <c r="Q395" s="10">
        <f t="shared" si="7"/>
        <v>2025</v>
      </c>
      <c r="R395" s="10">
        <f t="shared" si="8"/>
        <v>3</v>
      </c>
      <c r="S395" s="10" t="str">
        <f t="shared" si="9"/>
        <v>2025-03</v>
      </c>
    </row>
    <row r="396" ht="14.25" customHeight="1">
      <c r="A396" s="7" t="s">
        <v>422</v>
      </c>
      <c r="B396" s="8">
        <v>45742.0</v>
      </c>
      <c r="C396" s="7" t="s">
        <v>23</v>
      </c>
      <c r="D396" s="7" t="s">
        <v>21</v>
      </c>
      <c r="E396" s="9">
        <v>7428.35</v>
      </c>
      <c r="F396" s="9">
        <v>8019.71</v>
      </c>
      <c r="G396" s="9">
        <v>145695.0</v>
      </c>
      <c r="H396" s="9">
        <v>2785.0</v>
      </c>
      <c r="I396" s="9">
        <v>83.0</v>
      </c>
      <c r="J396" s="9">
        <v>1915.25</v>
      </c>
      <c r="K396" s="10">
        <f t="shared" si="1"/>
        <v>0.01911527506</v>
      </c>
      <c r="L396" s="10">
        <f t="shared" si="2"/>
        <v>2.879608618</v>
      </c>
      <c r="M396" s="10">
        <f t="shared" si="3"/>
        <v>96.62301205</v>
      </c>
      <c r="N396" s="10">
        <f t="shared" si="4"/>
        <v>0.2388178625</v>
      </c>
      <c r="O396" s="10">
        <f t="shared" si="5"/>
        <v>-6104.46</v>
      </c>
      <c r="P396" s="10">
        <f t="shared" si="6"/>
        <v>-318.7291476</v>
      </c>
      <c r="Q396" s="10">
        <f t="shared" si="7"/>
        <v>2025</v>
      </c>
      <c r="R396" s="10">
        <f t="shared" si="8"/>
        <v>3</v>
      </c>
      <c r="S396" s="10" t="str">
        <f t="shared" si="9"/>
        <v>2025-03</v>
      </c>
    </row>
    <row r="397" ht="14.25" customHeight="1">
      <c r="A397" s="7" t="s">
        <v>423</v>
      </c>
      <c r="B397" s="8">
        <v>45786.0</v>
      </c>
      <c r="C397" s="7" t="s">
        <v>23</v>
      </c>
      <c r="D397" s="7" t="s">
        <v>24</v>
      </c>
      <c r="E397" s="9">
        <v>9560.6</v>
      </c>
      <c r="F397" s="9">
        <v>9621.46</v>
      </c>
      <c r="G397" s="9">
        <v>165271.0</v>
      </c>
      <c r="H397" s="9">
        <v>3470.0</v>
      </c>
      <c r="I397" s="9">
        <v>651.0</v>
      </c>
      <c r="J397" s="9">
        <v>14344.86</v>
      </c>
      <c r="K397" s="10">
        <f t="shared" si="1"/>
        <v>0.02099581899</v>
      </c>
      <c r="L397" s="10">
        <f t="shared" si="2"/>
        <v>2.772755043</v>
      </c>
      <c r="M397" s="10">
        <f t="shared" si="3"/>
        <v>14.77950845</v>
      </c>
      <c r="N397" s="10">
        <f t="shared" si="4"/>
        <v>1.490923415</v>
      </c>
      <c r="O397" s="10">
        <f t="shared" si="5"/>
        <v>4723.4</v>
      </c>
      <c r="P397" s="10">
        <f t="shared" si="6"/>
        <v>32.92747367</v>
      </c>
      <c r="Q397" s="10">
        <f t="shared" si="7"/>
        <v>2025</v>
      </c>
      <c r="R397" s="10">
        <f t="shared" si="8"/>
        <v>5</v>
      </c>
      <c r="S397" s="10" t="str">
        <f t="shared" si="9"/>
        <v>2025-05</v>
      </c>
    </row>
    <row r="398" ht="14.25" customHeight="1">
      <c r="A398" s="7" t="s">
        <v>424</v>
      </c>
      <c r="B398" s="8">
        <v>45777.0</v>
      </c>
      <c r="C398" s="7" t="s">
        <v>31</v>
      </c>
      <c r="D398" s="7" t="s">
        <v>24</v>
      </c>
      <c r="E398" s="9">
        <v>5106.74</v>
      </c>
      <c r="F398" s="9">
        <v>5170.33</v>
      </c>
      <c r="G398" s="9">
        <v>69967.0</v>
      </c>
      <c r="H398" s="9">
        <v>1422.0</v>
      </c>
      <c r="I398" s="9">
        <v>153.0</v>
      </c>
      <c r="J398" s="9">
        <v>3369.14</v>
      </c>
      <c r="K398" s="10">
        <f t="shared" si="1"/>
        <v>0.02032386697</v>
      </c>
      <c r="L398" s="10">
        <f t="shared" si="2"/>
        <v>3.635956399</v>
      </c>
      <c r="M398" s="10">
        <f t="shared" si="3"/>
        <v>33.79300654</v>
      </c>
      <c r="N398" s="10">
        <f t="shared" si="4"/>
        <v>0.6516295865</v>
      </c>
      <c r="O398" s="10">
        <f t="shared" si="5"/>
        <v>-1801.19</v>
      </c>
      <c r="P398" s="10">
        <f t="shared" si="6"/>
        <v>-53.46141745</v>
      </c>
      <c r="Q398" s="10">
        <f t="shared" si="7"/>
        <v>2025</v>
      </c>
      <c r="R398" s="10">
        <f t="shared" si="8"/>
        <v>4</v>
      </c>
      <c r="S398" s="10" t="str">
        <f t="shared" si="9"/>
        <v>2025-04</v>
      </c>
    </row>
    <row r="399" ht="14.25" customHeight="1">
      <c r="A399" s="7" t="s">
        <v>425</v>
      </c>
      <c r="B399" s="8">
        <v>45767.0</v>
      </c>
      <c r="C399" s="7" t="s">
        <v>33</v>
      </c>
      <c r="D399" s="7" t="s">
        <v>21</v>
      </c>
      <c r="E399" s="9">
        <v>7075.19</v>
      </c>
      <c r="F399" s="9">
        <v>6394.31</v>
      </c>
      <c r="G399" s="9">
        <v>193477.0</v>
      </c>
      <c r="H399" s="9">
        <v>8585.0</v>
      </c>
      <c r="I399" s="9">
        <v>591.0</v>
      </c>
      <c r="J399" s="9">
        <v>22828.83</v>
      </c>
      <c r="K399" s="10">
        <f t="shared" si="1"/>
        <v>0.04437219928</v>
      </c>
      <c r="L399" s="10">
        <f t="shared" si="2"/>
        <v>0.7448235294</v>
      </c>
      <c r="M399" s="10">
        <f t="shared" si="3"/>
        <v>10.81947547</v>
      </c>
      <c r="N399" s="10">
        <f t="shared" si="4"/>
        <v>3.5701788</v>
      </c>
      <c r="O399" s="10">
        <f t="shared" si="5"/>
        <v>16434.52</v>
      </c>
      <c r="P399" s="10">
        <f t="shared" si="6"/>
        <v>71.99019836</v>
      </c>
      <c r="Q399" s="10">
        <f t="shared" si="7"/>
        <v>2025</v>
      </c>
      <c r="R399" s="10">
        <f t="shared" si="8"/>
        <v>4</v>
      </c>
      <c r="S399" s="10" t="str">
        <f t="shared" si="9"/>
        <v>2025-04</v>
      </c>
    </row>
    <row r="400" ht="14.25" customHeight="1">
      <c r="A400" s="7" t="s">
        <v>426</v>
      </c>
      <c r="B400" s="8">
        <v>45719.0</v>
      </c>
      <c r="C400" s="7" t="s">
        <v>33</v>
      </c>
      <c r="D400" s="7" t="s">
        <v>21</v>
      </c>
      <c r="E400" s="9">
        <v>3320.19</v>
      </c>
      <c r="F400" s="9">
        <v>3524.25</v>
      </c>
      <c r="G400" s="9">
        <v>180485.0</v>
      </c>
      <c r="H400" s="9">
        <v>1392.0</v>
      </c>
      <c r="I400" s="9">
        <v>278.0</v>
      </c>
      <c r="J400" s="9">
        <v>13678.9</v>
      </c>
      <c r="K400" s="10">
        <f t="shared" si="1"/>
        <v>0.00771255229</v>
      </c>
      <c r="L400" s="10">
        <f t="shared" si="2"/>
        <v>2.531788793</v>
      </c>
      <c r="M400" s="10">
        <f t="shared" si="3"/>
        <v>12.67715827</v>
      </c>
      <c r="N400" s="10">
        <f t="shared" si="4"/>
        <v>3.881364829</v>
      </c>
      <c r="O400" s="10">
        <f t="shared" si="5"/>
        <v>10154.65</v>
      </c>
      <c r="P400" s="10">
        <f t="shared" si="6"/>
        <v>74.23586692</v>
      </c>
      <c r="Q400" s="10">
        <f t="shared" si="7"/>
        <v>2025</v>
      </c>
      <c r="R400" s="10">
        <f t="shared" si="8"/>
        <v>3</v>
      </c>
      <c r="S400" s="10" t="str">
        <f t="shared" si="9"/>
        <v>2025-03</v>
      </c>
    </row>
    <row r="401" ht="14.25" customHeight="1">
      <c r="A401" s="7" t="s">
        <v>427</v>
      </c>
      <c r="B401" s="8">
        <v>45722.0</v>
      </c>
      <c r="C401" s="7" t="s">
        <v>20</v>
      </c>
      <c r="D401" s="7" t="s">
        <v>26</v>
      </c>
      <c r="E401" s="9">
        <v>9782.14</v>
      </c>
      <c r="F401" s="9">
        <v>10025.67</v>
      </c>
      <c r="G401" s="9">
        <v>149220.0</v>
      </c>
      <c r="H401" s="9">
        <v>5688.0</v>
      </c>
      <c r="I401" s="9">
        <v>531.0</v>
      </c>
      <c r="J401" s="9">
        <v>12692.27</v>
      </c>
      <c r="K401" s="10">
        <f t="shared" si="1"/>
        <v>0.03811821472</v>
      </c>
      <c r="L401" s="10">
        <f t="shared" si="2"/>
        <v>1.762600211</v>
      </c>
      <c r="M401" s="10">
        <f t="shared" si="3"/>
        <v>18.88073446</v>
      </c>
      <c r="N401" s="10">
        <f t="shared" si="4"/>
        <v>1.265977236</v>
      </c>
      <c r="O401" s="10">
        <f t="shared" si="5"/>
        <v>2666.6</v>
      </c>
      <c r="P401" s="10">
        <f t="shared" si="6"/>
        <v>21.00963815</v>
      </c>
      <c r="Q401" s="10">
        <f t="shared" si="7"/>
        <v>2025</v>
      </c>
      <c r="R401" s="10">
        <f t="shared" si="8"/>
        <v>3</v>
      </c>
      <c r="S401" s="10" t="str">
        <f t="shared" si="9"/>
        <v>2025-03</v>
      </c>
    </row>
    <row r="402" ht="14.25" customHeight="1">
      <c r="A402" s="7" t="s">
        <v>428</v>
      </c>
      <c r="B402" s="8">
        <v>45771.0</v>
      </c>
      <c r="C402" s="7" t="s">
        <v>31</v>
      </c>
      <c r="D402" s="7" t="s">
        <v>24</v>
      </c>
      <c r="E402" s="9">
        <v>8307.84</v>
      </c>
      <c r="F402" s="9">
        <v>6707.55</v>
      </c>
      <c r="G402" s="9">
        <v>128069.0</v>
      </c>
      <c r="H402" s="9">
        <v>2283.0</v>
      </c>
      <c r="I402" s="9">
        <v>270.0</v>
      </c>
      <c r="J402" s="9">
        <v>5579.2</v>
      </c>
      <c r="K402" s="10">
        <f t="shared" si="1"/>
        <v>0.017826328</v>
      </c>
      <c r="L402" s="10">
        <f t="shared" si="2"/>
        <v>2.93804205</v>
      </c>
      <c r="M402" s="10">
        <f t="shared" si="3"/>
        <v>24.84277778</v>
      </c>
      <c r="N402" s="10">
        <f t="shared" si="4"/>
        <v>0.8317791146</v>
      </c>
      <c r="O402" s="10">
        <f t="shared" si="5"/>
        <v>-1128.35</v>
      </c>
      <c r="P402" s="10">
        <f t="shared" si="6"/>
        <v>-20.2242257</v>
      </c>
      <c r="Q402" s="10">
        <f t="shared" si="7"/>
        <v>2025</v>
      </c>
      <c r="R402" s="10">
        <f t="shared" si="8"/>
        <v>4</v>
      </c>
      <c r="S402" s="10" t="str">
        <f t="shared" si="9"/>
        <v>2025-04</v>
      </c>
    </row>
    <row r="403" ht="14.25" customHeight="1">
      <c r="A403" s="7" t="s">
        <v>429</v>
      </c>
      <c r="B403" s="8">
        <v>45705.0</v>
      </c>
      <c r="C403" s="7" t="s">
        <v>31</v>
      </c>
      <c r="D403" s="7" t="s">
        <v>21</v>
      </c>
      <c r="E403" s="9">
        <v>5265.27</v>
      </c>
      <c r="F403" s="9">
        <v>4984.07</v>
      </c>
      <c r="G403" s="9">
        <v>50640.0</v>
      </c>
      <c r="H403" s="9">
        <v>1609.0</v>
      </c>
      <c r="I403" s="9">
        <v>321.0</v>
      </c>
      <c r="J403" s="9">
        <v>13839.02</v>
      </c>
      <c r="K403" s="10">
        <f t="shared" si="1"/>
        <v>0.03177330174</v>
      </c>
      <c r="L403" s="10">
        <f t="shared" si="2"/>
        <v>3.09761964</v>
      </c>
      <c r="M403" s="10">
        <f t="shared" si="3"/>
        <v>15.52669782</v>
      </c>
      <c r="N403" s="10">
        <f t="shared" si="4"/>
        <v>2.776650408</v>
      </c>
      <c r="O403" s="10">
        <f t="shared" si="5"/>
        <v>8854.95</v>
      </c>
      <c r="P403" s="10">
        <f t="shared" si="6"/>
        <v>63.98538336</v>
      </c>
      <c r="Q403" s="10">
        <f t="shared" si="7"/>
        <v>2025</v>
      </c>
      <c r="R403" s="10">
        <f t="shared" si="8"/>
        <v>2</v>
      </c>
      <c r="S403" s="10" t="str">
        <f t="shared" si="9"/>
        <v>2025-02</v>
      </c>
    </row>
    <row r="404" ht="14.25" customHeight="1">
      <c r="A404" s="7" t="s">
        <v>430</v>
      </c>
      <c r="B404" s="8">
        <v>45802.0</v>
      </c>
      <c r="C404" s="7" t="s">
        <v>23</v>
      </c>
      <c r="D404" s="7" t="s">
        <v>29</v>
      </c>
      <c r="E404" s="9">
        <v>7783.07</v>
      </c>
      <c r="F404" s="9">
        <v>7267.6</v>
      </c>
      <c r="G404" s="9">
        <v>159631.0</v>
      </c>
      <c r="H404" s="9">
        <v>5836.0</v>
      </c>
      <c r="I404" s="9">
        <v>861.0</v>
      </c>
      <c r="J404" s="9">
        <v>24287.78</v>
      </c>
      <c r="K404" s="10">
        <f t="shared" si="1"/>
        <v>0.03655931492</v>
      </c>
      <c r="L404" s="10">
        <f t="shared" si="2"/>
        <v>1.245305003</v>
      </c>
      <c r="M404" s="10">
        <f t="shared" si="3"/>
        <v>8.440882695</v>
      </c>
      <c r="N404" s="10">
        <f t="shared" si="4"/>
        <v>3.341925808</v>
      </c>
      <c r="O404" s="10">
        <f t="shared" si="5"/>
        <v>17020.18</v>
      </c>
      <c r="P404" s="10">
        <f t="shared" si="6"/>
        <v>70.07713344</v>
      </c>
      <c r="Q404" s="10">
        <f t="shared" si="7"/>
        <v>2025</v>
      </c>
      <c r="R404" s="10">
        <f t="shared" si="8"/>
        <v>5</v>
      </c>
      <c r="S404" s="10" t="str">
        <f t="shared" si="9"/>
        <v>2025-05</v>
      </c>
    </row>
    <row r="405" ht="14.25" customHeight="1">
      <c r="A405" s="7" t="s">
        <v>431</v>
      </c>
      <c r="B405" s="8">
        <v>45652.0</v>
      </c>
      <c r="C405" s="7" t="s">
        <v>33</v>
      </c>
      <c r="D405" s="7" t="s">
        <v>29</v>
      </c>
      <c r="E405" s="9">
        <v>9979.87</v>
      </c>
      <c r="F405" s="9">
        <v>9259.87</v>
      </c>
      <c r="G405" s="9">
        <v>92070.0</v>
      </c>
      <c r="H405" s="9">
        <v>2984.0</v>
      </c>
      <c r="I405" s="9">
        <v>369.0</v>
      </c>
      <c r="J405" s="9">
        <v>12376.85</v>
      </c>
      <c r="K405" s="10">
        <f t="shared" si="1"/>
        <v>0.03241012273</v>
      </c>
      <c r="L405" s="10">
        <f t="shared" si="2"/>
        <v>3.103173592</v>
      </c>
      <c r="M405" s="10">
        <f t="shared" si="3"/>
        <v>25.09449864</v>
      </c>
      <c r="N405" s="10">
        <f t="shared" si="4"/>
        <v>1.336611637</v>
      </c>
      <c r="O405" s="10">
        <f t="shared" si="5"/>
        <v>3116.98</v>
      </c>
      <c r="P405" s="10">
        <f t="shared" si="6"/>
        <v>25.1839523</v>
      </c>
      <c r="Q405" s="10">
        <f t="shared" si="7"/>
        <v>2024</v>
      </c>
      <c r="R405" s="10">
        <f t="shared" si="8"/>
        <v>12</v>
      </c>
      <c r="S405" s="10" t="str">
        <f t="shared" si="9"/>
        <v>2024-12</v>
      </c>
    </row>
    <row r="406" ht="14.25" customHeight="1">
      <c r="A406" s="7" t="s">
        <v>432</v>
      </c>
      <c r="B406" s="8">
        <v>45818.0</v>
      </c>
      <c r="C406" s="7" t="s">
        <v>23</v>
      </c>
      <c r="D406" s="7" t="s">
        <v>26</v>
      </c>
      <c r="E406" s="9">
        <v>4145.37</v>
      </c>
      <c r="F406" s="9">
        <v>4304.73</v>
      </c>
      <c r="G406" s="9">
        <v>138224.0</v>
      </c>
      <c r="H406" s="9">
        <v>4150.0</v>
      </c>
      <c r="I406" s="9">
        <v>232.0</v>
      </c>
      <c r="J406" s="9">
        <v>9468.03</v>
      </c>
      <c r="K406" s="10">
        <f t="shared" si="1"/>
        <v>0.0300237296</v>
      </c>
      <c r="L406" s="10">
        <f t="shared" si="2"/>
        <v>1.037284337</v>
      </c>
      <c r="M406" s="10">
        <f t="shared" si="3"/>
        <v>18.55487069</v>
      </c>
      <c r="N406" s="10">
        <f t="shared" si="4"/>
        <v>2.199448049</v>
      </c>
      <c r="O406" s="10">
        <f t="shared" si="5"/>
        <v>5163.3</v>
      </c>
      <c r="P406" s="10">
        <f t="shared" si="6"/>
        <v>54.53404774</v>
      </c>
      <c r="Q406" s="10">
        <f t="shared" si="7"/>
        <v>2025</v>
      </c>
      <c r="R406" s="10">
        <f t="shared" si="8"/>
        <v>6</v>
      </c>
      <c r="S406" s="10" t="str">
        <f t="shared" si="9"/>
        <v>2025-06</v>
      </c>
    </row>
    <row r="407" ht="14.25" customHeight="1">
      <c r="A407" s="7" t="s">
        <v>433</v>
      </c>
      <c r="B407" s="8">
        <v>45696.0</v>
      </c>
      <c r="C407" s="7" t="s">
        <v>28</v>
      </c>
      <c r="D407" s="7" t="s">
        <v>21</v>
      </c>
      <c r="E407" s="9">
        <v>4545.39</v>
      </c>
      <c r="F407" s="9">
        <v>3748.65</v>
      </c>
      <c r="G407" s="9">
        <v>63940.0</v>
      </c>
      <c r="H407" s="9">
        <v>2107.0</v>
      </c>
      <c r="I407" s="9">
        <v>352.0</v>
      </c>
      <c r="J407" s="9">
        <v>14226.07</v>
      </c>
      <c r="K407" s="10">
        <f t="shared" si="1"/>
        <v>0.03295276822</v>
      </c>
      <c r="L407" s="10">
        <f t="shared" si="2"/>
        <v>1.779140959</v>
      </c>
      <c r="M407" s="10">
        <f t="shared" si="3"/>
        <v>10.64957386</v>
      </c>
      <c r="N407" s="10">
        <f t="shared" si="4"/>
        <v>3.794984861</v>
      </c>
      <c r="O407" s="10">
        <f t="shared" si="5"/>
        <v>10477.42</v>
      </c>
      <c r="P407" s="10">
        <f t="shared" si="6"/>
        <v>73.64943375</v>
      </c>
      <c r="Q407" s="10">
        <f t="shared" si="7"/>
        <v>2025</v>
      </c>
      <c r="R407" s="10">
        <f t="shared" si="8"/>
        <v>2</v>
      </c>
      <c r="S407" s="10" t="str">
        <f t="shared" si="9"/>
        <v>2025-02</v>
      </c>
    </row>
    <row r="408" ht="14.25" customHeight="1">
      <c r="A408" s="7" t="s">
        <v>434</v>
      </c>
      <c r="B408" s="8">
        <v>45803.0</v>
      </c>
      <c r="C408" s="7" t="s">
        <v>28</v>
      </c>
      <c r="D408" s="7" t="s">
        <v>29</v>
      </c>
      <c r="E408" s="9">
        <v>7581.58</v>
      </c>
      <c r="F408" s="9">
        <v>6686.79</v>
      </c>
      <c r="G408" s="9">
        <v>192599.0</v>
      </c>
      <c r="H408" s="9">
        <v>7700.0</v>
      </c>
      <c r="I408" s="9">
        <v>1117.0</v>
      </c>
      <c r="J408" s="9">
        <v>54203.44</v>
      </c>
      <c r="K408" s="10">
        <f t="shared" si="1"/>
        <v>0.03997943915</v>
      </c>
      <c r="L408" s="10">
        <f t="shared" si="2"/>
        <v>0.8684142857</v>
      </c>
      <c r="M408" s="10">
        <f t="shared" si="3"/>
        <v>5.986383169</v>
      </c>
      <c r="N408" s="10">
        <f t="shared" si="4"/>
        <v>8.106047894</v>
      </c>
      <c r="O408" s="10">
        <f t="shared" si="5"/>
        <v>47516.65</v>
      </c>
      <c r="P408" s="10">
        <f t="shared" si="6"/>
        <v>87.66353206</v>
      </c>
      <c r="Q408" s="10">
        <f t="shared" si="7"/>
        <v>2025</v>
      </c>
      <c r="R408" s="10">
        <f t="shared" si="8"/>
        <v>5</v>
      </c>
      <c r="S408" s="10" t="str">
        <f t="shared" si="9"/>
        <v>2025-05</v>
      </c>
    </row>
    <row r="409" ht="14.25" customHeight="1">
      <c r="A409" s="7" t="s">
        <v>435</v>
      </c>
      <c r="B409" s="8">
        <v>45800.0</v>
      </c>
      <c r="C409" s="7" t="s">
        <v>23</v>
      </c>
      <c r="D409" s="7" t="s">
        <v>24</v>
      </c>
      <c r="E409" s="9">
        <v>4057.41</v>
      </c>
      <c r="F409" s="9">
        <v>3772.18</v>
      </c>
      <c r="G409" s="9">
        <v>65526.0</v>
      </c>
      <c r="H409" s="9">
        <v>2744.0</v>
      </c>
      <c r="I409" s="9">
        <v>447.0</v>
      </c>
      <c r="J409" s="9">
        <v>21593.89</v>
      </c>
      <c r="K409" s="10">
        <f t="shared" si="1"/>
        <v>0.04187650704</v>
      </c>
      <c r="L409" s="10">
        <f t="shared" si="2"/>
        <v>1.374701166</v>
      </c>
      <c r="M409" s="10">
        <f t="shared" si="3"/>
        <v>8.438881432</v>
      </c>
      <c r="N409" s="10">
        <f t="shared" si="4"/>
        <v>5.724512086</v>
      </c>
      <c r="O409" s="10">
        <f t="shared" si="5"/>
        <v>17821.71</v>
      </c>
      <c r="P409" s="10">
        <f t="shared" si="6"/>
        <v>82.53126232</v>
      </c>
      <c r="Q409" s="10">
        <f t="shared" si="7"/>
        <v>2025</v>
      </c>
      <c r="R409" s="10">
        <f t="shared" si="8"/>
        <v>5</v>
      </c>
      <c r="S409" s="10" t="str">
        <f t="shared" si="9"/>
        <v>2025-05</v>
      </c>
    </row>
    <row r="410" ht="14.25" customHeight="1">
      <c r="A410" s="7" t="s">
        <v>436</v>
      </c>
      <c r="B410" s="8">
        <v>45754.0</v>
      </c>
      <c r="C410" s="7" t="s">
        <v>20</v>
      </c>
      <c r="D410" s="7" t="s">
        <v>21</v>
      </c>
      <c r="E410" s="9">
        <v>5938.09</v>
      </c>
      <c r="F410" s="9">
        <v>5887.96</v>
      </c>
      <c r="G410" s="9">
        <v>149688.0</v>
      </c>
      <c r="H410" s="9">
        <v>5146.0</v>
      </c>
      <c r="I410" s="9">
        <v>512.0</v>
      </c>
      <c r="J410" s="9">
        <v>16347.05</v>
      </c>
      <c r="K410" s="10">
        <f t="shared" si="1"/>
        <v>0.03437817327</v>
      </c>
      <c r="L410" s="10">
        <f t="shared" si="2"/>
        <v>1.144181889</v>
      </c>
      <c r="M410" s="10">
        <f t="shared" si="3"/>
        <v>11.49992188</v>
      </c>
      <c r="N410" s="10">
        <f t="shared" si="4"/>
        <v>2.776352081</v>
      </c>
      <c r="O410" s="10">
        <f t="shared" si="5"/>
        <v>10459.09</v>
      </c>
      <c r="P410" s="10">
        <f t="shared" si="6"/>
        <v>63.98151348</v>
      </c>
      <c r="Q410" s="10">
        <f t="shared" si="7"/>
        <v>2025</v>
      </c>
      <c r="R410" s="10">
        <f t="shared" si="8"/>
        <v>4</v>
      </c>
      <c r="S410" s="10" t="str">
        <f t="shared" si="9"/>
        <v>2025-04</v>
      </c>
    </row>
    <row r="411" ht="14.25" customHeight="1">
      <c r="A411" s="7" t="s">
        <v>437</v>
      </c>
      <c r="B411" s="8">
        <v>45675.0</v>
      </c>
      <c r="C411" s="7" t="s">
        <v>20</v>
      </c>
      <c r="D411" s="7" t="s">
        <v>26</v>
      </c>
      <c r="E411" s="9">
        <v>4919.51</v>
      </c>
      <c r="F411" s="9">
        <v>5387.81</v>
      </c>
      <c r="G411" s="9">
        <v>118998.0</v>
      </c>
      <c r="H411" s="9">
        <v>1453.0</v>
      </c>
      <c r="I411" s="9">
        <v>106.0</v>
      </c>
      <c r="J411" s="9">
        <v>3421.68</v>
      </c>
      <c r="K411" s="10">
        <f t="shared" si="1"/>
        <v>0.01221028925</v>
      </c>
      <c r="L411" s="10">
        <f t="shared" si="2"/>
        <v>3.708059188</v>
      </c>
      <c r="M411" s="10">
        <f t="shared" si="3"/>
        <v>50.82839623</v>
      </c>
      <c r="N411" s="10">
        <f t="shared" si="4"/>
        <v>0.6350780744</v>
      </c>
      <c r="O411" s="10">
        <f t="shared" si="5"/>
        <v>-1966.13</v>
      </c>
      <c r="P411" s="10">
        <f t="shared" si="6"/>
        <v>-57.46095485</v>
      </c>
      <c r="Q411" s="10">
        <f t="shared" si="7"/>
        <v>2025</v>
      </c>
      <c r="R411" s="10">
        <f t="shared" si="8"/>
        <v>1</v>
      </c>
      <c r="S411" s="10" t="str">
        <f t="shared" si="9"/>
        <v>2025-01</v>
      </c>
    </row>
    <row r="412" ht="14.25" customHeight="1">
      <c r="A412" s="7" t="s">
        <v>438</v>
      </c>
      <c r="B412" s="8">
        <v>45687.0</v>
      </c>
      <c r="C412" s="7" t="s">
        <v>23</v>
      </c>
      <c r="D412" s="7" t="s">
        <v>21</v>
      </c>
      <c r="E412" s="9">
        <v>9258.69</v>
      </c>
      <c r="F412" s="9">
        <v>8045.68</v>
      </c>
      <c r="G412" s="9">
        <v>115280.0</v>
      </c>
      <c r="H412" s="9">
        <v>3264.0</v>
      </c>
      <c r="I412" s="9">
        <v>281.0</v>
      </c>
      <c r="J412" s="9">
        <v>7416.47</v>
      </c>
      <c r="K412" s="10">
        <f t="shared" si="1"/>
        <v>0.02831367106</v>
      </c>
      <c r="L412" s="10">
        <f t="shared" si="2"/>
        <v>2.46497549</v>
      </c>
      <c r="M412" s="10">
        <f t="shared" si="3"/>
        <v>28.63231317</v>
      </c>
      <c r="N412" s="10">
        <f t="shared" si="4"/>
        <v>0.9217952988</v>
      </c>
      <c r="O412" s="10">
        <f t="shared" si="5"/>
        <v>-629.21</v>
      </c>
      <c r="P412" s="10">
        <f t="shared" si="6"/>
        <v>-8.483955305</v>
      </c>
      <c r="Q412" s="10">
        <f t="shared" si="7"/>
        <v>2025</v>
      </c>
      <c r="R412" s="10">
        <f t="shared" si="8"/>
        <v>1</v>
      </c>
      <c r="S412" s="10" t="str">
        <f t="shared" si="9"/>
        <v>2025-01</v>
      </c>
    </row>
    <row r="413" ht="14.25" customHeight="1">
      <c r="A413" s="7" t="s">
        <v>439</v>
      </c>
      <c r="B413" s="8">
        <v>45727.0</v>
      </c>
      <c r="C413" s="7" t="s">
        <v>33</v>
      </c>
      <c r="D413" s="7" t="s">
        <v>21</v>
      </c>
      <c r="E413" s="9">
        <v>3217.94</v>
      </c>
      <c r="F413" s="9">
        <v>3203.46</v>
      </c>
      <c r="G413" s="9">
        <v>129278.0</v>
      </c>
      <c r="H413" s="9">
        <v>5246.0</v>
      </c>
      <c r="I413" s="9">
        <v>346.0</v>
      </c>
      <c r="J413" s="9">
        <v>10745.3</v>
      </c>
      <c r="K413" s="10">
        <f t="shared" si="1"/>
        <v>0.04057921688</v>
      </c>
      <c r="L413" s="10">
        <f t="shared" si="2"/>
        <v>0.6106481128</v>
      </c>
      <c r="M413" s="10">
        <f t="shared" si="3"/>
        <v>9.258554913</v>
      </c>
      <c r="N413" s="10">
        <f t="shared" si="4"/>
        <v>3.354279435</v>
      </c>
      <c r="O413" s="10">
        <f t="shared" si="5"/>
        <v>7541.84</v>
      </c>
      <c r="P413" s="10">
        <f t="shared" si="6"/>
        <v>70.18733772</v>
      </c>
      <c r="Q413" s="10">
        <f t="shared" si="7"/>
        <v>2025</v>
      </c>
      <c r="R413" s="10">
        <f t="shared" si="8"/>
        <v>3</v>
      </c>
      <c r="S413" s="10" t="str">
        <f t="shared" si="9"/>
        <v>2025-03</v>
      </c>
    </row>
    <row r="414" ht="14.25" customHeight="1">
      <c r="A414" s="7" t="s">
        <v>440</v>
      </c>
      <c r="B414" s="8">
        <v>45796.0</v>
      </c>
      <c r="C414" s="7" t="s">
        <v>28</v>
      </c>
      <c r="D414" s="7" t="s">
        <v>24</v>
      </c>
      <c r="E414" s="9">
        <v>9050.51</v>
      </c>
      <c r="F414" s="9">
        <v>8525.25</v>
      </c>
      <c r="G414" s="9">
        <v>113951.0</v>
      </c>
      <c r="H414" s="9">
        <v>4911.0</v>
      </c>
      <c r="I414" s="9">
        <v>623.0</v>
      </c>
      <c r="J414" s="9">
        <v>30555.54</v>
      </c>
      <c r="K414" s="10">
        <f t="shared" si="1"/>
        <v>0.04309747172</v>
      </c>
      <c r="L414" s="10">
        <f t="shared" si="2"/>
        <v>1.735949908</v>
      </c>
      <c r="M414" s="10">
        <f t="shared" si="3"/>
        <v>13.68418941</v>
      </c>
      <c r="N414" s="10">
        <f t="shared" si="4"/>
        <v>3.58412246</v>
      </c>
      <c r="O414" s="10">
        <f t="shared" si="5"/>
        <v>22030.29</v>
      </c>
      <c r="P414" s="10">
        <f t="shared" si="6"/>
        <v>72.09916761</v>
      </c>
      <c r="Q414" s="10">
        <f t="shared" si="7"/>
        <v>2025</v>
      </c>
      <c r="R414" s="10">
        <f t="shared" si="8"/>
        <v>5</v>
      </c>
      <c r="S414" s="10" t="str">
        <f t="shared" si="9"/>
        <v>2025-05</v>
      </c>
    </row>
    <row r="415" ht="14.25" customHeight="1">
      <c r="A415" s="7" t="s">
        <v>441</v>
      </c>
      <c r="B415" s="8">
        <v>45709.0</v>
      </c>
      <c r="C415" s="7" t="s">
        <v>31</v>
      </c>
      <c r="D415" s="7" t="s">
        <v>21</v>
      </c>
      <c r="E415" s="9">
        <v>4298.68</v>
      </c>
      <c r="F415" s="9">
        <v>4559.12</v>
      </c>
      <c r="G415" s="9">
        <v>160215.0</v>
      </c>
      <c r="H415" s="9">
        <v>4360.0</v>
      </c>
      <c r="I415" s="9">
        <v>734.0</v>
      </c>
      <c r="J415" s="9">
        <v>31780.66</v>
      </c>
      <c r="K415" s="10">
        <f t="shared" si="1"/>
        <v>0.02721343195</v>
      </c>
      <c r="L415" s="10">
        <f t="shared" si="2"/>
        <v>1.045669725</v>
      </c>
      <c r="M415" s="10">
        <f t="shared" si="3"/>
        <v>6.21133515</v>
      </c>
      <c r="N415" s="10">
        <f t="shared" si="4"/>
        <v>6.970788222</v>
      </c>
      <c r="O415" s="10">
        <f t="shared" si="5"/>
        <v>27221.54</v>
      </c>
      <c r="P415" s="10">
        <f t="shared" si="6"/>
        <v>85.65442002</v>
      </c>
      <c r="Q415" s="10">
        <f t="shared" si="7"/>
        <v>2025</v>
      </c>
      <c r="R415" s="10">
        <f t="shared" si="8"/>
        <v>2</v>
      </c>
      <c r="S415" s="10" t="str">
        <f t="shared" si="9"/>
        <v>2025-02</v>
      </c>
    </row>
    <row r="416" ht="14.25" customHeight="1">
      <c r="A416" s="7" t="s">
        <v>442</v>
      </c>
      <c r="B416" s="8">
        <v>45793.0</v>
      </c>
      <c r="C416" s="7" t="s">
        <v>33</v>
      </c>
      <c r="D416" s="7" t="s">
        <v>24</v>
      </c>
      <c r="E416" s="9">
        <v>8396.45</v>
      </c>
      <c r="F416" s="9">
        <v>8845.11</v>
      </c>
      <c r="G416" s="9">
        <v>176532.0</v>
      </c>
      <c r="H416" s="9">
        <v>2317.0</v>
      </c>
      <c r="I416" s="9">
        <v>156.0</v>
      </c>
      <c r="J416" s="9">
        <v>6681.59</v>
      </c>
      <c r="K416" s="10">
        <f t="shared" si="1"/>
        <v>0.01312509913</v>
      </c>
      <c r="L416" s="10">
        <f t="shared" si="2"/>
        <v>3.817483815</v>
      </c>
      <c r="M416" s="10">
        <f t="shared" si="3"/>
        <v>56.69942308</v>
      </c>
      <c r="N416" s="10">
        <f t="shared" si="4"/>
        <v>0.755399311</v>
      </c>
      <c r="O416" s="10">
        <f t="shared" si="5"/>
        <v>-2163.52</v>
      </c>
      <c r="P416" s="10">
        <f t="shared" si="6"/>
        <v>-32.38031666</v>
      </c>
      <c r="Q416" s="10">
        <f t="shared" si="7"/>
        <v>2025</v>
      </c>
      <c r="R416" s="10">
        <f t="shared" si="8"/>
        <v>5</v>
      </c>
      <c r="S416" s="10" t="str">
        <f t="shared" si="9"/>
        <v>2025-05</v>
      </c>
    </row>
    <row r="417" ht="14.25" customHeight="1">
      <c r="A417" s="7" t="s">
        <v>443</v>
      </c>
      <c r="B417" s="8">
        <v>45763.0</v>
      </c>
      <c r="C417" s="7" t="s">
        <v>31</v>
      </c>
      <c r="D417" s="7" t="s">
        <v>26</v>
      </c>
      <c r="E417" s="9">
        <v>7383.54</v>
      </c>
      <c r="F417" s="9">
        <v>6197.55</v>
      </c>
      <c r="G417" s="9">
        <v>93893.0</v>
      </c>
      <c r="H417" s="9">
        <v>3140.0</v>
      </c>
      <c r="I417" s="9">
        <v>208.0</v>
      </c>
      <c r="J417" s="9">
        <v>4362.96</v>
      </c>
      <c r="K417" s="10">
        <f t="shared" si="1"/>
        <v>0.03344232264</v>
      </c>
      <c r="L417" s="10">
        <f t="shared" si="2"/>
        <v>1.973742038</v>
      </c>
      <c r="M417" s="10">
        <f t="shared" si="3"/>
        <v>29.79591346</v>
      </c>
      <c r="N417" s="10">
        <f t="shared" si="4"/>
        <v>0.703981412</v>
      </c>
      <c r="O417" s="10">
        <f t="shared" si="5"/>
        <v>-1834.59</v>
      </c>
      <c r="P417" s="10">
        <f t="shared" si="6"/>
        <v>-42.04920513</v>
      </c>
      <c r="Q417" s="10">
        <f t="shared" si="7"/>
        <v>2025</v>
      </c>
      <c r="R417" s="10">
        <f t="shared" si="8"/>
        <v>4</v>
      </c>
      <c r="S417" s="10" t="str">
        <f t="shared" si="9"/>
        <v>2025-04</v>
      </c>
    </row>
    <row r="418" ht="14.25" customHeight="1">
      <c r="A418" s="7" t="s">
        <v>444</v>
      </c>
      <c r="B418" s="8">
        <v>45748.0</v>
      </c>
      <c r="C418" s="7" t="s">
        <v>31</v>
      </c>
      <c r="D418" s="7" t="s">
        <v>29</v>
      </c>
      <c r="E418" s="9">
        <v>9445.93</v>
      </c>
      <c r="F418" s="9">
        <v>9304.19</v>
      </c>
      <c r="G418" s="9">
        <v>70743.0</v>
      </c>
      <c r="H418" s="9">
        <v>1210.0</v>
      </c>
      <c r="I418" s="9">
        <v>52.0</v>
      </c>
      <c r="J418" s="9">
        <v>2282.6</v>
      </c>
      <c r="K418" s="10">
        <f t="shared" si="1"/>
        <v>0.01710416578</v>
      </c>
      <c r="L418" s="10">
        <f t="shared" si="2"/>
        <v>7.689413223</v>
      </c>
      <c r="M418" s="10">
        <f t="shared" si="3"/>
        <v>178.9267308</v>
      </c>
      <c r="N418" s="10">
        <f t="shared" si="4"/>
        <v>0.2453303297</v>
      </c>
      <c r="O418" s="10">
        <f t="shared" si="5"/>
        <v>-7021.59</v>
      </c>
      <c r="P418" s="10">
        <f t="shared" si="6"/>
        <v>-307.6136861</v>
      </c>
      <c r="Q418" s="10">
        <f t="shared" si="7"/>
        <v>2025</v>
      </c>
      <c r="R418" s="10">
        <f t="shared" si="8"/>
        <v>4</v>
      </c>
      <c r="S418" s="10" t="str">
        <f t="shared" si="9"/>
        <v>2025-04</v>
      </c>
    </row>
    <row r="419" ht="14.25" customHeight="1">
      <c r="A419" s="7" t="s">
        <v>445</v>
      </c>
      <c r="B419" s="8">
        <v>45690.0</v>
      </c>
      <c r="C419" s="7" t="s">
        <v>33</v>
      </c>
      <c r="D419" s="7" t="s">
        <v>24</v>
      </c>
      <c r="E419" s="9">
        <v>6370.66</v>
      </c>
      <c r="F419" s="9">
        <v>5320.73</v>
      </c>
      <c r="G419" s="9">
        <v>84061.0</v>
      </c>
      <c r="H419" s="9">
        <v>1539.0</v>
      </c>
      <c r="I419" s="9">
        <v>177.0</v>
      </c>
      <c r="J419" s="9">
        <v>4204.74</v>
      </c>
      <c r="K419" s="10">
        <f t="shared" si="1"/>
        <v>0.01830813338</v>
      </c>
      <c r="L419" s="10">
        <f t="shared" si="2"/>
        <v>3.457264457</v>
      </c>
      <c r="M419" s="10">
        <f t="shared" si="3"/>
        <v>30.06062147</v>
      </c>
      <c r="N419" s="10">
        <f t="shared" si="4"/>
        <v>0.7902562242</v>
      </c>
      <c r="O419" s="10">
        <f t="shared" si="5"/>
        <v>-1115.99</v>
      </c>
      <c r="P419" s="10">
        <f t="shared" si="6"/>
        <v>-26.54123679</v>
      </c>
      <c r="Q419" s="10">
        <f t="shared" si="7"/>
        <v>2025</v>
      </c>
      <c r="R419" s="10">
        <f t="shared" si="8"/>
        <v>2</v>
      </c>
      <c r="S419" s="10" t="str">
        <f t="shared" si="9"/>
        <v>2025-02</v>
      </c>
    </row>
    <row r="420" ht="14.25" customHeight="1">
      <c r="A420" s="7" t="s">
        <v>446</v>
      </c>
      <c r="B420" s="8">
        <v>45744.0</v>
      </c>
      <c r="C420" s="7" t="s">
        <v>23</v>
      </c>
      <c r="D420" s="7" t="s">
        <v>26</v>
      </c>
      <c r="E420" s="9">
        <v>7798.96</v>
      </c>
      <c r="F420" s="9">
        <v>7245.95</v>
      </c>
      <c r="G420" s="9">
        <v>108436.0</v>
      </c>
      <c r="H420" s="9">
        <v>3545.0</v>
      </c>
      <c r="I420" s="9">
        <v>81.0</v>
      </c>
      <c r="J420" s="9">
        <v>2107.28</v>
      </c>
      <c r="K420" s="10">
        <f t="shared" si="1"/>
        <v>0.03269209488</v>
      </c>
      <c r="L420" s="10">
        <f t="shared" si="2"/>
        <v>2.043991537</v>
      </c>
      <c r="M420" s="10">
        <f t="shared" si="3"/>
        <v>89.45617284</v>
      </c>
      <c r="N420" s="10">
        <f t="shared" si="4"/>
        <v>0.2908217694</v>
      </c>
      <c r="O420" s="10">
        <f t="shared" si="5"/>
        <v>-5138.67</v>
      </c>
      <c r="P420" s="10">
        <f t="shared" si="6"/>
        <v>-243.8532136</v>
      </c>
      <c r="Q420" s="10">
        <f t="shared" si="7"/>
        <v>2025</v>
      </c>
      <c r="R420" s="10">
        <f t="shared" si="8"/>
        <v>3</v>
      </c>
      <c r="S420" s="10" t="str">
        <f t="shared" si="9"/>
        <v>2025-03</v>
      </c>
    </row>
    <row r="421" ht="14.25" customHeight="1">
      <c r="A421" s="7" t="s">
        <v>447</v>
      </c>
      <c r="B421" s="8">
        <v>45688.0</v>
      </c>
      <c r="C421" s="7" t="s">
        <v>31</v>
      </c>
      <c r="D421" s="7" t="s">
        <v>26</v>
      </c>
      <c r="E421" s="9">
        <v>6441.16</v>
      </c>
      <c r="F421" s="9">
        <v>5277.0</v>
      </c>
      <c r="G421" s="9">
        <v>143676.0</v>
      </c>
      <c r="H421" s="9">
        <v>6117.0</v>
      </c>
      <c r="I421" s="9">
        <v>461.0</v>
      </c>
      <c r="J421" s="9">
        <v>17268.66</v>
      </c>
      <c r="K421" s="10">
        <f t="shared" si="1"/>
        <v>0.04257496033</v>
      </c>
      <c r="L421" s="10">
        <f t="shared" si="2"/>
        <v>0.8626777832</v>
      </c>
      <c r="M421" s="10">
        <f t="shared" si="3"/>
        <v>11.44685466</v>
      </c>
      <c r="N421" s="10">
        <f t="shared" si="4"/>
        <v>3.272438886</v>
      </c>
      <c r="O421" s="10">
        <f t="shared" si="5"/>
        <v>11991.66</v>
      </c>
      <c r="P421" s="10">
        <f t="shared" si="6"/>
        <v>69.44175171</v>
      </c>
      <c r="Q421" s="10">
        <f t="shared" si="7"/>
        <v>2025</v>
      </c>
      <c r="R421" s="10">
        <f t="shared" si="8"/>
        <v>1</v>
      </c>
      <c r="S421" s="10" t="str">
        <f t="shared" si="9"/>
        <v>2025-01</v>
      </c>
    </row>
    <row r="422" ht="14.25" customHeight="1">
      <c r="A422" s="7" t="s">
        <v>448</v>
      </c>
      <c r="B422" s="8">
        <v>45763.0</v>
      </c>
      <c r="C422" s="7" t="s">
        <v>28</v>
      </c>
      <c r="D422" s="7" t="s">
        <v>29</v>
      </c>
      <c r="E422" s="9">
        <v>4882.95</v>
      </c>
      <c r="F422" s="9">
        <v>5074.69</v>
      </c>
      <c r="G422" s="9">
        <v>76424.0</v>
      </c>
      <c r="H422" s="9">
        <v>1044.0</v>
      </c>
      <c r="I422" s="9">
        <v>91.0</v>
      </c>
      <c r="J422" s="9">
        <v>2667.29</v>
      </c>
      <c r="K422" s="10">
        <f t="shared" si="1"/>
        <v>0.01366063017</v>
      </c>
      <c r="L422" s="10">
        <f t="shared" si="2"/>
        <v>4.860814176</v>
      </c>
      <c r="M422" s="10">
        <f t="shared" si="3"/>
        <v>55.76582418</v>
      </c>
      <c r="N422" s="10">
        <f t="shared" si="4"/>
        <v>0.5256064902</v>
      </c>
      <c r="O422" s="10">
        <f t="shared" si="5"/>
        <v>-2407.4</v>
      </c>
      <c r="P422" s="10">
        <f t="shared" si="6"/>
        <v>-90.25640257</v>
      </c>
      <c r="Q422" s="10">
        <f t="shared" si="7"/>
        <v>2025</v>
      </c>
      <c r="R422" s="10">
        <f t="shared" si="8"/>
        <v>4</v>
      </c>
      <c r="S422" s="10" t="str">
        <f t="shared" si="9"/>
        <v>2025-04</v>
      </c>
    </row>
    <row r="423" ht="14.25" customHeight="1">
      <c r="A423" s="7" t="s">
        <v>449</v>
      </c>
      <c r="B423" s="8">
        <v>45675.0</v>
      </c>
      <c r="C423" s="7" t="s">
        <v>28</v>
      </c>
      <c r="D423" s="7" t="s">
        <v>21</v>
      </c>
      <c r="E423" s="9">
        <v>6186.54</v>
      </c>
      <c r="F423" s="9">
        <v>4970.8</v>
      </c>
      <c r="G423" s="9">
        <v>131046.0</v>
      </c>
      <c r="H423" s="9">
        <v>6398.0</v>
      </c>
      <c r="I423" s="9">
        <v>1049.0</v>
      </c>
      <c r="J423" s="9">
        <v>23259.9</v>
      </c>
      <c r="K423" s="10">
        <f t="shared" si="1"/>
        <v>0.04882255086</v>
      </c>
      <c r="L423" s="10">
        <f t="shared" si="2"/>
        <v>0.7769302907</v>
      </c>
      <c r="M423" s="10">
        <f t="shared" si="3"/>
        <v>4.738608198</v>
      </c>
      <c r="N423" s="10">
        <f t="shared" si="4"/>
        <v>4.679307154</v>
      </c>
      <c r="O423" s="10">
        <f t="shared" si="5"/>
        <v>18289.1</v>
      </c>
      <c r="P423" s="10">
        <f t="shared" si="6"/>
        <v>78.62931483</v>
      </c>
      <c r="Q423" s="10">
        <f t="shared" si="7"/>
        <v>2025</v>
      </c>
      <c r="R423" s="10">
        <f t="shared" si="8"/>
        <v>1</v>
      </c>
      <c r="S423" s="10" t="str">
        <f t="shared" si="9"/>
        <v>2025-01</v>
      </c>
    </row>
    <row r="424" ht="14.25" customHeight="1">
      <c r="A424" s="7" t="s">
        <v>450</v>
      </c>
      <c r="B424" s="8">
        <v>45795.0</v>
      </c>
      <c r="C424" s="7" t="s">
        <v>33</v>
      </c>
      <c r="D424" s="7" t="s">
        <v>21</v>
      </c>
      <c r="E424" s="9">
        <v>5747.45</v>
      </c>
      <c r="F424" s="9">
        <v>5425.49</v>
      </c>
      <c r="G424" s="9">
        <v>69001.0</v>
      </c>
      <c r="H424" s="9">
        <v>2029.0</v>
      </c>
      <c r="I424" s="9">
        <v>320.0</v>
      </c>
      <c r="J424" s="9">
        <v>12160.2</v>
      </c>
      <c r="K424" s="10">
        <f t="shared" si="1"/>
        <v>0.02940537094</v>
      </c>
      <c r="L424" s="10">
        <f t="shared" si="2"/>
        <v>2.6739724</v>
      </c>
      <c r="M424" s="10">
        <f t="shared" si="3"/>
        <v>16.95465625</v>
      </c>
      <c r="N424" s="10">
        <f t="shared" si="4"/>
        <v>2.24130908</v>
      </c>
      <c r="O424" s="10">
        <f t="shared" si="5"/>
        <v>6734.71</v>
      </c>
      <c r="P424" s="10">
        <f t="shared" si="6"/>
        <v>55.38321738</v>
      </c>
      <c r="Q424" s="10">
        <f t="shared" si="7"/>
        <v>2025</v>
      </c>
      <c r="R424" s="10">
        <f t="shared" si="8"/>
        <v>5</v>
      </c>
      <c r="S424" s="10" t="str">
        <f t="shared" si="9"/>
        <v>2025-05</v>
      </c>
    </row>
    <row r="425" ht="14.25" customHeight="1">
      <c r="A425" s="7" t="s">
        <v>451</v>
      </c>
      <c r="B425" s="8">
        <v>45682.0</v>
      </c>
      <c r="C425" s="7" t="s">
        <v>20</v>
      </c>
      <c r="D425" s="7" t="s">
        <v>29</v>
      </c>
      <c r="E425" s="9">
        <v>5041.64</v>
      </c>
      <c r="F425" s="9">
        <v>5084.47</v>
      </c>
      <c r="G425" s="9">
        <v>179928.0</v>
      </c>
      <c r="H425" s="9">
        <v>5522.0</v>
      </c>
      <c r="I425" s="9">
        <v>900.0</v>
      </c>
      <c r="J425" s="9">
        <v>41223.3</v>
      </c>
      <c r="K425" s="10">
        <f t="shared" si="1"/>
        <v>0.0306900538</v>
      </c>
      <c r="L425" s="10">
        <f t="shared" si="2"/>
        <v>0.9207660268</v>
      </c>
      <c r="M425" s="10">
        <f t="shared" si="3"/>
        <v>5.649411111</v>
      </c>
      <c r="N425" s="10">
        <f t="shared" si="4"/>
        <v>8.107688707</v>
      </c>
      <c r="O425" s="10">
        <f t="shared" si="5"/>
        <v>36138.83</v>
      </c>
      <c r="P425" s="10">
        <f t="shared" si="6"/>
        <v>87.66602868</v>
      </c>
      <c r="Q425" s="10">
        <f t="shared" si="7"/>
        <v>2025</v>
      </c>
      <c r="R425" s="10">
        <f t="shared" si="8"/>
        <v>1</v>
      </c>
      <c r="S425" s="10" t="str">
        <f t="shared" si="9"/>
        <v>2025-01</v>
      </c>
    </row>
    <row r="426" ht="14.25" customHeight="1">
      <c r="A426" s="7" t="s">
        <v>452</v>
      </c>
      <c r="B426" s="8">
        <v>45714.0</v>
      </c>
      <c r="C426" s="7" t="s">
        <v>33</v>
      </c>
      <c r="D426" s="7" t="s">
        <v>24</v>
      </c>
      <c r="E426" s="9">
        <v>8458.96</v>
      </c>
      <c r="F426" s="9">
        <v>6867.71</v>
      </c>
      <c r="G426" s="9">
        <v>151737.0</v>
      </c>
      <c r="H426" s="9">
        <v>6324.0</v>
      </c>
      <c r="I426" s="9">
        <v>1140.0</v>
      </c>
      <c r="J426" s="9">
        <v>39233.34</v>
      </c>
      <c r="K426" s="10">
        <f t="shared" si="1"/>
        <v>0.04167737599</v>
      </c>
      <c r="L426" s="10">
        <f t="shared" si="2"/>
        <v>1.085975648</v>
      </c>
      <c r="M426" s="10">
        <f t="shared" si="3"/>
        <v>6.024307018</v>
      </c>
      <c r="N426" s="10">
        <f t="shared" si="4"/>
        <v>5.712725202</v>
      </c>
      <c r="O426" s="10">
        <f t="shared" si="5"/>
        <v>32365.63</v>
      </c>
      <c r="P426" s="10">
        <f t="shared" si="6"/>
        <v>82.49521963</v>
      </c>
      <c r="Q426" s="10">
        <f t="shared" si="7"/>
        <v>2025</v>
      </c>
      <c r="R426" s="10">
        <f t="shared" si="8"/>
        <v>2</v>
      </c>
      <c r="S426" s="10" t="str">
        <f t="shared" si="9"/>
        <v>2025-02</v>
      </c>
    </row>
    <row r="427" ht="14.25" customHeight="1">
      <c r="A427" s="7" t="s">
        <v>453</v>
      </c>
      <c r="B427" s="8">
        <v>45672.0</v>
      </c>
      <c r="C427" s="7" t="s">
        <v>28</v>
      </c>
      <c r="D427" s="7" t="s">
        <v>21</v>
      </c>
      <c r="E427" s="9">
        <v>3734.51</v>
      </c>
      <c r="F427" s="9">
        <v>3258.78</v>
      </c>
      <c r="G427" s="9">
        <v>188031.0</v>
      </c>
      <c r="H427" s="9">
        <v>2257.0</v>
      </c>
      <c r="I427" s="9">
        <v>398.0</v>
      </c>
      <c r="J427" s="9">
        <v>19740.75</v>
      </c>
      <c r="K427" s="10">
        <f t="shared" si="1"/>
        <v>0.01200333987</v>
      </c>
      <c r="L427" s="10">
        <f t="shared" si="2"/>
        <v>1.443854674</v>
      </c>
      <c r="M427" s="10">
        <f t="shared" si="3"/>
        <v>8.187889447</v>
      </c>
      <c r="N427" s="10">
        <f t="shared" si="4"/>
        <v>6.057711782</v>
      </c>
      <c r="O427" s="10">
        <f t="shared" si="5"/>
        <v>16481.97</v>
      </c>
      <c r="P427" s="10">
        <f t="shared" si="6"/>
        <v>83.49211656</v>
      </c>
      <c r="Q427" s="10">
        <f t="shared" si="7"/>
        <v>2025</v>
      </c>
      <c r="R427" s="10">
        <f t="shared" si="8"/>
        <v>1</v>
      </c>
      <c r="S427" s="10" t="str">
        <f t="shared" si="9"/>
        <v>2025-01</v>
      </c>
    </row>
    <row r="428" ht="14.25" customHeight="1">
      <c r="A428" s="7" t="s">
        <v>454</v>
      </c>
      <c r="B428" s="8">
        <v>45759.0</v>
      </c>
      <c r="C428" s="7" t="s">
        <v>20</v>
      </c>
      <c r="D428" s="7" t="s">
        <v>24</v>
      </c>
      <c r="E428" s="9">
        <v>3997.47</v>
      </c>
      <c r="F428" s="9">
        <v>3796.26</v>
      </c>
      <c r="G428" s="9">
        <v>55760.0</v>
      </c>
      <c r="H428" s="9">
        <v>2026.0</v>
      </c>
      <c r="I428" s="9">
        <v>179.0</v>
      </c>
      <c r="J428" s="9">
        <v>6899.5</v>
      </c>
      <c r="K428" s="10">
        <f t="shared" si="1"/>
        <v>0.03633428981</v>
      </c>
      <c r="L428" s="10">
        <f t="shared" si="2"/>
        <v>1.873770977</v>
      </c>
      <c r="M428" s="10">
        <f t="shared" si="3"/>
        <v>21.20815642</v>
      </c>
      <c r="N428" s="10">
        <f t="shared" si="4"/>
        <v>1.817446645</v>
      </c>
      <c r="O428" s="10">
        <f t="shared" si="5"/>
        <v>3103.24</v>
      </c>
      <c r="P428" s="10">
        <f t="shared" si="6"/>
        <v>44.97775201</v>
      </c>
      <c r="Q428" s="10">
        <f t="shared" si="7"/>
        <v>2025</v>
      </c>
      <c r="R428" s="10">
        <f t="shared" si="8"/>
        <v>4</v>
      </c>
      <c r="S428" s="10" t="str">
        <f t="shared" si="9"/>
        <v>2025-04</v>
      </c>
    </row>
    <row r="429" ht="14.25" customHeight="1">
      <c r="A429" s="7" t="s">
        <v>455</v>
      </c>
      <c r="B429" s="8">
        <v>45799.0</v>
      </c>
      <c r="C429" s="7" t="s">
        <v>33</v>
      </c>
      <c r="D429" s="7" t="s">
        <v>21</v>
      </c>
      <c r="E429" s="9">
        <v>7917.25</v>
      </c>
      <c r="F429" s="9">
        <v>7663.06</v>
      </c>
      <c r="G429" s="9">
        <v>94851.0</v>
      </c>
      <c r="H429" s="9">
        <v>2639.0</v>
      </c>
      <c r="I429" s="9">
        <v>396.0</v>
      </c>
      <c r="J429" s="9">
        <v>8036.08</v>
      </c>
      <c r="K429" s="10">
        <f t="shared" si="1"/>
        <v>0.0278225849</v>
      </c>
      <c r="L429" s="10">
        <f t="shared" si="2"/>
        <v>2.903774157</v>
      </c>
      <c r="M429" s="10">
        <f t="shared" si="3"/>
        <v>19.35116162</v>
      </c>
      <c r="N429" s="10">
        <f t="shared" si="4"/>
        <v>1.048677682</v>
      </c>
      <c r="O429" s="10">
        <f t="shared" si="5"/>
        <v>373.02</v>
      </c>
      <c r="P429" s="10">
        <f t="shared" si="6"/>
        <v>4.641815412</v>
      </c>
      <c r="Q429" s="10">
        <f t="shared" si="7"/>
        <v>2025</v>
      </c>
      <c r="R429" s="10">
        <f t="shared" si="8"/>
        <v>5</v>
      </c>
      <c r="S429" s="10" t="str">
        <f t="shared" si="9"/>
        <v>2025-05</v>
      </c>
    </row>
    <row r="430" ht="14.25" customHeight="1">
      <c r="A430" s="7" t="s">
        <v>456</v>
      </c>
      <c r="B430" s="8">
        <v>45804.0</v>
      </c>
      <c r="C430" s="7" t="s">
        <v>23</v>
      </c>
      <c r="D430" s="7" t="s">
        <v>24</v>
      </c>
      <c r="E430" s="9">
        <v>5285.23</v>
      </c>
      <c r="F430" s="9">
        <v>5049.05</v>
      </c>
      <c r="G430" s="9">
        <v>134423.0</v>
      </c>
      <c r="H430" s="9">
        <v>2548.0</v>
      </c>
      <c r="I430" s="9">
        <v>363.0</v>
      </c>
      <c r="J430" s="9">
        <v>8216.87</v>
      </c>
      <c r="K430" s="10">
        <f t="shared" si="1"/>
        <v>0.01895508953</v>
      </c>
      <c r="L430" s="10">
        <f t="shared" si="2"/>
        <v>1.981573783</v>
      </c>
      <c r="M430" s="10">
        <f t="shared" si="3"/>
        <v>13.90922865</v>
      </c>
      <c r="N430" s="10">
        <f t="shared" si="4"/>
        <v>1.627409117</v>
      </c>
      <c r="O430" s="10">
        <f t="shared" si="5"/>
        <v>3167.82</v>
      </c>
      <c r="P430" s="10">
        <f t="shared" si="6"/>
        <v>38.55263622</v>
      </c>
      <c r="Q430" s="10">
        <f t="shared" si="7"/>
        <v>2025</v>
      </c>
      <c r="R430" s="10">
        <f t="shared" si="8"/>
        <v>5</v>
      </c>
      <c r="S430" s="10" t="str">
        <f t="shared" si="9"/>
        <v>2025-05</v>
      </c>
    </row>
    <row r="431" ht="14.25" customHeight="1">
      <c r="A431" s="7" t="s">
        <v>457</v>
      </c>
      <c r="B431" s="8">
        <v>45713.0</v>
      </c>
      <c r="C431" s="7" t="s">
        <v>31</v>
      </c>
      <c r="D431" s="7" t="s">
        <v>26</v>
      </c>
      <c r="E431" s="9">
        <v>5454.39</v>
      </c>
      <c r="F431" s="9">
        <v>4417.84</v>
      </c>
      <c r="G431" s="9">
        <v>111462.0</v>
      </c>
      <c r="H431" s="9">
        <v>5187.0</v>
      </c>
      <c r="I431" s="9">
        <v>280.0</v>
      </c>
      <c r="J431" s="9">
        <v>6260.06</v>
      </c>
      <c r="K431" s="10">
        <f t="shared" si="1"/>
        <v>0.04653603919</v>
      </c>
      <c r="L431" s="10">
        <f t="shared" si="2"/>
        <v>0.8517139001</v>
      </c>
      <c r="M431" s="10">
        <f t="shared" si="3"/>
        <v>15.778</v>
      </c>
      <c r="N431" s="10">
        <f t="shared" si="4"/>
        <v>1.416995636</v>
      </c>
      <c r="O431" s="10">
        <f t="shared" si="5"/>
        <v>1842.22</v>
      </c>
      <c r="P431" s="10">
        <f t="shared" si="6"/>
        <v>29.42815245</v>
      </c>
      <c r="Q431" s="10">
        <f t="shared" si="7"/>
        <v>2025</v>
      </c>
      <c r="R431" s="10">
        <f t="shared" si="8"/>
        <v>2</v>
      </c>
      <c r="S431" s="10" t="str">
        <f t="shared" si="9"/>
        <v>2025-02</v>
      </c>
    </row>
    <row r="432" ht="14.25" customHeight="1">
      <c r="A432" s="7" t="s">
        <v>458</v>
      </c>
      <c r="B432" s="8">
        <v>45697.0</v>
      </c>
      <c r="C432" s="7" t="s">
        <v>28</v>
      </c>
      <c r="D432" s="7" t="s">
        <v>24</v>
      </c>
      <c r="E432" s="9">
        <v>5778.46</v>
      </c>
      <c r="F432" s="9">
        <v>4852.84</v>
      </c>
      <c r="G432" s="9">
        <v>102748.0</v>
      </c>
      <c r="H432" s="9">
        <v>1293.0</v>
      </c>
      <c r="I432" s="9">
        <v>60.0</v>
      </c>
      <c r="J432" s="9">
        <v>2221.57</v>
      </c>
      <c r="K432" s="10">
        <f t="shared" si="1"/>
        <v>0.01258418655</v>
      </c>
      <c r="L432" s="10">
        <f t="shared" si="2"/>
        <v>3.753163186</v>
      </c>
      <c r="M432" s="10">
        <f t="shared" si="3"/>
        <v>80.88066667</v>
      </c>
      <c r="N432" s="10">
        <f t="shared" si="4"/>
        <v>0.4577876048</v>
      </c>
      <c r="O432" s="10">
        <f t="shared" si="5"/>
        <v>-2631.27</v>
      </c>
      <c r="P432" s="10">
        <f t="shared" si="6"/>
        <v>-118.4419127</v>
      </c>
      <c r="Q432" s="10">
        <f t="shared" si="7"/>
        <v>2025</v>
      </c>
      <c r="R432" s="10">
        <f t="shared" si="8"/>
        <v>2</v>
      </c>
      <c r="S432" s="10" t="str">
        <f t="shared" si="9"/>
        <v>2025-02</v>
      </c>
    </row>
    <row r="433" ht="14.25" customHeight="1">
      <c r="A433" s="7" t="s">
        <v>459</v>
      </c>
      <c r="B433" s="8">
        <v>45768.0</v>
      </c>
      <c r="C433" s="7" t="s">
        <v>20</v>
      </c>
      <c r="D433" s="7" t="s">
        <v>26</v>
      </c>
      <c r="E433" s="9">
        <v>7826.25</v>
      </c>
      <c r="F433" s="9">
        <v>8140.68</v>
      </c>
      <c r="G433" s="9">
        <v>180765.0</v>
      </c>
      <c r="H433" s="9">
        <v>5270.0</v>
      </c>
      <c r="I433" s="9">
        <v>513.0</v>
      </c>
      <c r="J433" s="9">
        <v>13340.31</v>
      </c>
      <c r="K433" s="10">
        <f t="shared" si="1"/>
        <v>0.02915387381</v>
      </c>
      <c r="L433" s="10">
        <f t="shared" si="2"/>
        <v>1.544721063</v>
      </c>
      <c r="M433" s="10">
        <f t="shared" si="3"/>
        <v>15.86877193</v>
      </c>
      <c r="N433" s="10">
        <f t="shared" si="4"/>
        <v>1.638721827</v>
      </c>
      <c r="O433" s="10">
        <f t="shared" si="5"/>
        <v>5199.63</v>
      </c>
      <c r="P433" s="10">
        <f t="shared" si="6"/>
        <v>38.97683037</v>
      </c>
      <c r="Q433" s="10">
        <f t="shared" si="7"/>
        <v>2025</v>
      </c>
      <c r="R433" s="10">
        <f t="shared" si="8"/>
        <v>4</v>
      </c>
      <c r="S433" s="10" t="str">
        <f t="shared" si="9"/>
        <v>2025-04</v>
      </c>
    </row>
    <row r="434" ht="14.25" customHeight="1">
      <c r="A434" s="7" t="s">
        <v>460</v>
      </c>
      <c r="B434" s="8">
        <v>45748.0</v>
      </c>
      <c r="C434" s="7" t="s">
        <v>20</v>
      </c>
      <c r="D434" s="7" t="s">
        <v>24</v>
      </c>
      <c r="E434" s="9">
        <v>4172.38</v>
      </c>
      <c r="F434" s="9">
        <v>3468.79</v>
      </c>
      <c r="G434" s="9">
        <v>143614.0</v>
      </c>
      <c r="H434" s="9">
        <v>4002.0</v>
      </c>
      <c r="I434" s="9">
        <v>362.0</v>
      </c>
      <c r="J434" s="9">
        <v>14151.63</v>
      </c>
      <c r="K434" s="10">
        <f t="shared" si="1"/>
        <v>0.027866364</v>
      </c>
      <c r="L434" s="10">
        <f t="shared" si="2"/>
        <v>0.8667641179</v>
      </c>
      <c r="M434" s="10">
        <f t="shared" si="3"/>
        <v>9.582292818</v>
      </c>
      <c r="N434" s="10">
        <f t="shared" si="4"/>
        <v>4.079702144</v>
      </c>
      <c r="O434" s="10">
        <f t="shared" si="5"/>
        <v>10682.84</v>
      </c>
      <c r="P434" s="10">
        <f t="shared" si="6"/>
        <v>75.48840664</v>
      </c>
      <c r="Q434" s="10">
        <f t="shared" si="7"/>
        <v>2025</v>
      </c>
      <c r="R434" s="10">
        <f t="shared" si="8"/>
        <v>4</v>
      </c>
      <c r="S434" s="10" t="str">
        <f t="shared" si="9"/>
        <v>2025-04</v>
      </c>
    </row>
    <row r="435" ht="14.25" customHeight="1">
      <c r="A435" s="7" t="s">
        <v>461</v>
      </c>
      <c r="B435" s="8">
        <v>45804.0</v>
      </c>
      <c r="C435" s="7" t="s">
        <v>23</v>
      </c>
      <c r="D435" s="7" t="s">
        <v>26</v>
      </c>
      <c r="E435" s="9">
        <v>7945.33</v>
      </c>
      <c r="F435" s="9">
        <v>6431.55</v>
      </c>
      <c r="G435" s="9">
        <v>174898.0</v>
      </c>
      <c r="H435" s="9">
        <v>7877.0</v>
      </c>
      <c r="I435" s="9">
        <v>806.0</v>
      </c>
      <c r="J435" s="9">
        <v>38757.61</v>
      </c>
      <c r="K435" s="10">
        <f t="shared" si="1"/>
        <v>0.0450376791</v>
      </c>
      <c r="L435" s="10">
        <f t="shared" si="2"/>
        <v>0.8164973975</v>
      </c>
      <c r="M435" s="10">
        <f t="shared" si="3"/>
        <v>7.979590571</v>
      </c>
      <c r="N435" s="10">
        <f t="shared" si="4"/>
        <v>6.02616943</v>
      </c>
      <c r="O435" s="10">
        <f t="shared" si="5"/>
        <v>32326.06</v>
      </c>
      <c r="P435" s="10">
        <f t="shared" si="6"/>
        <v>83.40571052</v>
      </c>
      <c r="Q435" s="10">
        <f t="shared" si="7"/>
        <v>2025</v>
      </c>
      <c r="R435" s="10">
        <f t="shared" si="8"/>
        <v>5</v>
      </c>
      <c r="S435" s="10" t="str">
        <f t="shared" si="9"/>
        <v>2025-05</v>
      </c>
    </row>
    <row r="436" ht="14.25" customHeight="1">
      <c r="A436" s="7" t="s">
        <v>462</v>
      </c>
      <c r="B436" s="8">
        <v>45774.0</v>
      </c>
      <c r="C436" s="7" t="s">
        <v>31</v>
      </c>
      <c r="D436" s="7" t="s">
        <v>29</v>
      </c>
      <c r="E436" s="9">
        <v>3363.8</v>
      </c>
      <c r="F436" s="9">
        <v>3237.28</v>
      </c>
      <c r="G436" s="9">
        <v>179667.0</v>
      </c>
      <c r="H436" s="9">
        <v>3625.0</v>
      </c>
      <c r="I436" s="9">
        <v>357.0</v>
      </c>
      <c r="J436" s="9">
        <v>14734.04</v>
      </c>
      <c r="K436" s="10">
        <f t="shared" si="1"/>
        <v>0.02017621489</v>
      </c>
      <c r="L436" s="10">
        <f t="shared" si="2"/>
        <v>0.8930427586</v>
      </c>
      <c r="M436" s="10">
        <f t="shared" si="3"/>
        <v>9.068011204</v>
      </c>
      <c r="N436" s="10">
        <f t="shared" si="4"/>
        <v>4.551364108</v>
      </c>
      <c r="O436" s="10">
        <f t="shared" si="5"/>
        <v>11496.76</v>
      </c>
      <c r="P436" s="10">
        <f t="shared" si="6"/>
        <v>78.02856515</v>
      </c>
      <c r="Q436" s="10">
        <f t="shared" si="7"/>
        <v>2025</v>
      </c>
      <c r="R436" s="10">
        <f t="shared" si="8"/>
        <v>4</v>
      </c>
      <c r="S436" s="10" t="str">
        <f t="shared" si="9"/>
        <v>2025-04</v>
      </c>
    </row>
    <row r="437" ht="14.25" customHeight="1">
      <c r="A437" s="7" t="s">
        <v>463</v>
      </c>
      <c r="B437" s="8">
        <v>45653.0</v>
      </c>
      <c r="C437" s="7" t="s">
        <v>33</v>
      </c>
      <c r="D437" s="7" t="s">
        <v>21</v>
      </c>
      <c r="E437" s="9">
        <v>9096.78</v>
      </c>
      <c r="F437" s="9">
        <v>9226.19</v>
      </c>
      <c r="G437" s="9">
        <v>142353.0</v>
      </c>
      <c r="H437" s="9">
        <v>4745.0</v>
      </c>
      <c r="I437" s="9">
        <v>555.0</v>
      </c>
      <c r="J437" s="9">
        <v>24448.77</v>
      </c>
      <c r="K437" s="10">
        <f t="shared" si="1"/>
        <v>0.03333263085</v>
      </c>
      <c r="L437" s="10">
        <f t="shared" si="2"/>
        <v>1.944402529</v>
      </c>
      <c r="M437" s="10">
        <f t="shared" si="3"/>
        <v>16.62376577</v>
      </c>
      <c r="N437" s="10">
        <f t="shared" si="4"/>
        <v>2.649931337</v>
      </c>
      <c r="O437" s="10">
        <f t="shared" si="5"/>
        <v>15222.58</v>
      </c>
      <c r="P437" s="10">
        <f t="shared" si="6"/>
        <v>62.26317316</v>
      </c>
      <c r="Q437" s="10">
        <f t="shared" si="7"/>
        <v>2024</v>
      </c>
      <c r="R437" s="10">
        <f t="shared" si="8"/>
        <v>12</v>
      </c>
      <c r="S437" s="10" t="str">
        <f t="shared" si="9"/>
        <v>2024-12</v>
      </c>
    </row>
    <row r="438" ht="14.25" customHeight="1">
      <c r="A438" s="7" t="s">
        <v>464</v>
      </c>
      <c r="B438" s="8">
        <v>45811.0</v>
      </c>
      <c r="C438" s="7" t="s">
        <v>28</v>
      </c>
      <c r="D438" s="7" t="s">
        <v>24</v>
      </c>
      <c r="E438" s="9">
        <v>5376.15</v>
      </c>
      <c r="F438" s="9">
        <v>5615.11</v>
      </c>
      <c r="G438" s="9">
        <v>161295.0</v>
      </c>
      <c r="H438" s="9">
        <v>7131.0</v>
      </c>
      <c r="I438" s="9">
        <v>124.0</v>
      </c>
      <c r="J438" s="9">
        <v>2778.03</v>
      </c>
      <c r="K438" s="10">
        <f t="shared" si="1"/>
        <v>0.04421091788</v>
      </c>
      <c r="L438" s="10">
        <f t="shared" si="2"/>
        <v>0.7874225214</v>
      </c>
      <c r="M438" s="10">
        <f t="shared" si="3"/>
        <v>45.28314516</v>
      </c>
      <c r="N438" s="10">
        <f t="shared" si="4"/>
        <v>0.4947418661</v>
      </c>
      <c r="O438" s="10">
        <f t="shared" si="5"/>
        <v>-2837.08</v>
      </c>
      <c r="P438" s="10">
        <f t="shared" si="6"/>
        <v>-102.125607</v>
      </c>
      <c r="Q438" s="10">
        <f t="shared" si="7"/>
        <v>2025</v>
      </c>
      <c r="R438" s="10">
        <f t="shared" si="8"/>
        <v>6</v>
      </c>
      <c r="S438" s="10" t="str">
        <f t="shared" si="9"/>
        <v>2025-06</v>
      </c>
    </row>
    <row r="439" ht="14.25" customHeight="1">
      <c r="A439" s="7" t="s">
        <v>465</v>
      </c>
      <c r="B439" s="8">
        <v>45803.0</v>
      </c>
      <c r="C439" s="7" t="s">
        <v>20</v>
      </c>
      <c r="D439" s="7" t="s">
        <v>26</v>
      </c>
      <c r="E439" s="9">
        <v>9263.72</v>
      </c>
      <c r="F439" s="9">
        <v>8932.8</v>
      </c>
      <c r="G439" s="9">
        <v>72755.0</v>
      </c>
      <c r="H439" s="9">
        <v>2170.0</v>
      </c>
      <c r="I439" s="9">
        <v>58.0</v>
      </c>
      <c r="J439" s="9">
        <v>2582.1</v>
      </c>
      <c r="K439" s="10">
        <f t="shared" si="1"/>
        <v>0.02982612879</v>
      </c>
      <c r="L439" s="10">
        <f t="shared" si="2"/>
        <v>4.116497696</v>
      </c>
      <c r="M439" s="10">
        <f t="shared" si="3"/>
        <v>154.0137931</v>
      </c>
      <c r="N439" s="10">
        <f t="shared" si="4"/>
        <v>0.289058302</v>
      </c>
      <c r="O439" s="10">
        <f t="shared" si="5"/>
        <v>-6350.7</v>
      </c>
      <c r="P439" s="10">
        <f t="shared" si="6"/>
        <v>-245.9509701</v>
      </c>
      <c r="Q439" s="10">
        <f t="shared" si="7"/>
        <v>2025</v>
      </c>
      <c r="R439" s="10">
        <f t="shared" si="8"/>
        <v>5</v>
      </c>
      <c r="S439" s="10" t="str">
        <f t="shared" si="9"/>
        <v>2025-05</v>
      </c>
    </row>
    <row r="440" ht="14.25" customHeight="1">
      <c r="A440" s="7" t="s">
        <v>466</v>
      </c>
      <c r="B440" s="8">
        <v>45765.0</v>
      </c>
      <c r="C440" s="7" t="s">
        <v>31</v>
      </c>
      <c r="D440" s="7" t="s">
        <v>29</v>
      </c>
      <c r="E440" s="9">
        <v>6166.23</v>
      </c>
      <c r="F440" s="9">
        <v>6123.52</v>
      </c>
      <c r="G440" s="9">
        <v>136413.0</v>
      </c>
      <c r="H440" s="9">
        <v>3434.0</v>
      </c>
      <c r="I440" s="9">
        <v>635.0</v>
      </c>
      <c r="J440" s="9">
        <v>22727.97</v>
      </c>
      <c r="K440" s="10">
        <f t="shared" si="1"/>
        <v>0.02517355384</v>
      </c>
      <c r="L440" s="10">
        <f t="shared" si="2"/>
        <v>1.783203262</v>
      </c>
      <c r="M440" s="10">
        <f t="shared" si="3"/>
        <v>9.643338583</v>
      </c>
      <c r="N440" s="10">
        <f t="shared" si="4"/>
        <v>3.71158582</v>
      </c>
      <c r="O440" s="10">
        <f t="shared" si="5"/>
        <v>16604.45</v>
      </c>
      <c r="P440" s="10">
        <f t="shared" si="6"/>
        <v>73.0573386</v>
      </c>
      <c r="Q440" s="10">
        <f t="shared" si="7"/>
        <v>2025</v>
      </c>
      <c r="R440" s="10">
        <f t="shared" si="8"/>
        <v>4</v>
      </c>
      <c r="S440" s="10" t="str">
        <f t="shared" si="9"/>
        <v>2025-04</v>
      </c>
    </row>
    <row r="441" ht="14.25" customHeight="1">
      <c r="A441" s="7" t="s">
        <v>467</v>
      </c>
      <c r="B441" s="8">
        <v>45707.0</v>
      </c>
      <c r="C441" s="7" t="s">
        <v>33</v>
      </c>
      <c r="D441" s="7" t="s">
        <v>26</v>
      </c>
      <c r="E441" s="9">
        <v>8121.13</v>
      </c>
      <c r="F441" s="9">
        <v>6695.78</v>
      </c>
      <c r="G441" s="9">
        <v>190122.0</v>
      </c>
      <c r="H441" s="9">
        <v>2084.0</v>
      </c>
      <c r="I441" s="9">
        <v>362.0</v>
      </c>
      <c r="J441" s="9">
        <v>7895.42</v>
      </c>
      <c r="K441" s="10">
        <f t="shared" si="1"/>
        <v>0.01096138269</v>
      </c>
      <c r="L441" s="10">
        <f t="shared" si="2"/>
        <v>3.212946257</v>
      </c>
      <c r="M441" s="10">
        <f t="shared" si="3"/>
        <v>18.49662983</v>
      </c>
      <c r="N441" s="10">
        <f t="shared" si="4"/>
        <v>1.179163593</v>
      </c>
      <c r="O441" s="10">
        <f t="shared" si="5"/>
        <v>1199.64</v>
      </c>
      <c r="P441" s="10">
        <f t="shared" si="6"/>
        <v>15.1941252</v>
      </c>
      <c r="Q441" s="10">
        <f t="shared" si="7"/>
        <v>2025</v>
      </c>
      <c r="R441" s="10">
        <f t="shared" si="8"/>
        <v>2</v>
      </c>
      <c r="S441" s="10" t="str">
        <f t="shared" si="9"/>
        <v>2025-02</v>
      </c>
    </row>
    <row r="442" ht="14.25" customHeight="1">
      <c r="A442" s="7" t="s">
        <v>468</v>
      </c>
      <c r="B442" s="8">
        <v>45667.0</v>
      </c>
      <c r="C442" s="7" t="s">
        <v>31</v>
      </c>
      <c r="D442" s="7" t="s">
        <v>21</v>
      </c>
      <c r="E442" s="9">
        <v>4729.72</v>
      </c>
      <c r="F442" s="9">
        <v>4010.16</v>
      </c>
      <c r="G442" s="9">
        <v>84930.0</v>
      </c>
      <c r="H442" s="9">
        <v>1915.0</v>
      </c>
      <c r="I442" s="9">
        <v>303.0</v>
      </c>
      <c r="J442" s="9">
        <v>13984.51</v>
      </c>
      <c r="K442" s="10">
        <f t="shared" si="1"/>
        <v>0.02254798069</v>
      </c>
      <c r="L442" s="10">
        <f t="shared" si="2"/>
        <v>2.094078329</v>
      </c>
      <c r="M442" s="10">
        <f t="shared" si="3"/>
        <v>13.23485149</v>
      </c>
      <c r="N442" s="10">
        <f t="shared" si="4"/>
        <v>3.487269835</v>
      </c>
      <c r="O442" s="10">
        <f t="shared" si="5"/>
        <v>9974.35</v>
      </c>
      <c r="P442" s="10">
        <f t="shared" si="6"/>
        <v>71.32427236</v>
      </c>
      <c r="Q442" s="10">
        <f t="shared" si="7"/>
        <v>2025</v>
      </c>
      <c r="R442" s="10">
        <f t="shared" si="8"/>
        <v>1</v>
      </c>
      <c r="S442" s="10" t="str">
        <f t="shared" si="9"/>
        <v>2025-01</v>
      </c>
    </row>
    <row r="443" ht="14.25" customHeight="1">
      <c r="A443" s="7" t="s">
        <v>469</v>
      </c>
      <c r="B443" s="8">
        <v>45671.0</v>
      </c>
      <c r="C443" s="7" t="s">
        <v>20</v>
      </c>
      <c r="D443" s="7" t="s">
        <v>21</v>
      </c>
      <c r="E443" s="9">
        <v>4534.5</v>
      </c>
      <c r="F443" s="9">
        <v>4955.12</v>
      </c>
      <c r="G443" s="9">
        <v>120822.0</v>
      </c>
      <c r="H443" s="9">
        <v>1992.0</v>
      </c>
      <c r="I443" s="9">
        <v>277.0</v>
      </c>
      <c r="J443" s="9">
        <v>8339.6</v>
      </c>
      <c r="K443" s="10">
        <f t="shared" si="1"/>
        <v>0.01648706361</v>
      </c>
      <c r="L443" s="10">
        <f t="shared" si="2"/>
        <v>2.48751004</v>
      </c>
      <c r="M443" s="10">
        <f t="shared" si="3"/>
        <v>17.88851986</v>
      </c>
      <c r="N443" s="10">
        <f t="shared" si="4"/>
        <v>1.683026849</v>
      </c>
      <c r="O443" s="10">
        <f t="shared" si="5"/>
        <v>3384.48</v>
      </c>
      <c r="P443" s="10">
        <f t="shared" si="6"/>
        <v>40.5832414</v>
      </c>
      <c r="Q443" s="10">
        <f t="shared" si="7"/>
        <v>2025</v>
      </c>
      <c r="R443" s="10">
        <f t="shared" si="8"/>
        <v>1</v>
      </c>
      <c r="S443" s="10" t="str">
        <f t="shared" si="9"/>
        <v>2025-01</v>
      </c>
    </row>
    <row r="444" ht="14.25" customHeight="1">
      <c r="A444" s="7" t="s">
        <v>470</v>
      </c>
      <c r="B444" s="8">
        <v>45724.0</v>
      </c>
      <c r="C444" s="7" t="s">
        <v>28</v>
      </c>
      <c r="D444" s="7" t="s">
        <v>21</v>
      </c>
      <c r="E444" s="9">
        <v>4274.83</v>
      </c>
      <c r="F444" s="9">
        <v>4432.61</v>
      </c>
      <c r="G444" s="9">
        <v>108943.0</v>
      </c>
      <c r="H444" s="9">
        <v>3924.0</v>
      </c>
      <c r="I444" s="9">
        <v>687.0</v>
      </c>
      <c r="J444" s="9">
        <v>27315.97</v>
      </c>
      <c r="K444" s="10">
        <f t="shared" si="1"/>
        <v>0.03601883554</v>
      </c>
      <c r="L444" s="10">
        <f t="shared" si="2"/>
        <v>1.129615189</v>
      </c>
      <c r="M444" s="10">
        <f t="shared" si="3"/>
        <v>6.452125182</v>
      </c>
      <c r="N444" s="10">
        <f t="shared" si="4"/>
        <v>6.162502453</v>
      </c>
      <c r="O444" s="10">
        <f t="shared" si="5"/>
        <v>22883.36</v>
      </c>
      <c r="P444" s="10">
        <f t="shared" si="6"/>
        <v>83.77282593</v>
      </c>
      <c r="Q444" s="10">
        <f t="shared" si="7"/>
        <v>2025</v>
      </c>
      <c r="R444" s="10">
        <f t="shared" si="8"/>
        <v>3</v>
      </c>
      <c r="S444" s="10" t="str">
        <f t="shared" si="9"/>
        <v>2025-03</v>
      </c>
    </row>
    <row r="445" ht="14.25" customHeight="1">
      <c r="A445" s="7" t="s">
        <v>471</v>
      </c>
      <c r="B445" s="8">
        <v>45735.0</v>
      </c>
      <c r="C445" s="7" t="s">
        <v>33</v>
      </c>
      <c r="D445" s="7" t="s">
        <v>24</v>
      </c>
      <c r="E445" s="9">
        <v>6487.37</v>
      </c>
      <c r="F445" s="9">
        <v>6270.75</v>
      </c>
      <c r="G445" s="9">
        <v>145244.0</v>
      </c>
      <c r="H445" s="9">
        <v>7015.0</v>
      </c>
      <c r="I445" s="9">
        <v>623.0</v>
      </c>
      <c r="J445" s="9">
        <v>25901.88</v>
      </c>
      <c r="K445" s="10">
        <f t="shared" si="1"/>
        <v>0.04829803641</v>
      </c>
      <c r="L445" s="10">
        <f t="shared" si="2"/>
        <v>0.8939059159</v>
      </c>
      <c r="M445" s="10">
        <f t="shared" si="3"/>
        <v>10.06540931</v>
      </c>
      <c r="N445" s="10">
        <f t="shared" si="4"/>
        <v>4.13058725</v>
      </c>
      <c r="O445" s="10">
        <f t="shared" si="5"/>
        <v>19631.13</v>
      </c>
      <c r="P445" s="10">
        <f t="shared" si="6"/>
        <v>75.79036734</v>
      </c>
      <c r="Q445" s="10">
        <f t="shared" si="7"/>
        <v>2025</v>
      </c>
      <c r="R445" s="10">
        <f t="shared" si="8"/>
        <v>3</v>
      </c>
      <c r="S445" s="10" t="str">
        <f t="shared" si="9"/>
        <v>2025-03</v>
      </c>
    </row>
    <row r="446" ht="14.25" customHeight="1">
      <c r="A446" s="7" t="s">
        <v>472</v>
      </c>
      <c r="B446" s="8">
        <v>45679.0</v>
      </c>
      <c r="C446" s="7" t="s">
        <v>31</v>
      </c>
      <c r="D446" s="7" t="s">
        <v>21</v>
      </c>
      <c r="E446" s="9">
        <v>4599.18</v>
      </c>
      <c r="F446" s="9">
        <v>5054.04</v>
      </c>
      <c r="G446" s="9">
        <v>174584.0</v>
      </c>
      <c r="H446" s="9">
        <v>5659.0</v>
      </c>
      <c r="I446" s="9">
        <v>91.0</v>
      </c>
      <c r="J446" s="9">
        <v>4481.19</v>
      </c>
      <c r="K446" s="10">
        <f t="shared" si="1"/>
        <v>0.03241419603</v>
      </c>
      <c r="L446" s="10">
        <f t="shared" si="2"/>
        <v>0.8930977204</v>
      </c>
      <c r="M446" s="10">
        <f t="shared" si="3"/>
        <v>55.5389011</v>
      </c>
      <c r="N446" s="10">
        <f t="shared" si="4"/>
        <v>0.8866550324</v>
      </c>
      <c r="O446" s="10">
        <f t="shared" si="5"/>
        <v>-572.85</v>
      </c>
      <c r="P446" s="10">
        <f t="shared" si="6"/>
        <v>-12.78343476</v>
      </c>
      <c r="Q446" s="10">
        <f t="shared" si="7"/>
        <v>2025</v>
      </c>
      <c r="R446" s="10">
        <f t="shared" si="8"/>
        <v>1</v>
      </c>
      <c r="S446" s="10" t="str">
        <f t="shared" si="9"/>
        <v>2025-01</v>
      </c>
    </row>
    <row r="447" ht="14.25" customHeight="1">
      <c r="A447" s="7" t="s">
        <v>473</v>
      </c>
      <c r="B447" s="8">
        <v>45742.0</v>
      </c>
      <c r="C447" s="7" t="s">
        <v>31</v>
      </c>
      <c r="D447" s="7" t="s">
        <v>26</v>
      </c>
      <c r="E447" s="9">
        <v>7552.28</v>
      </c>
      <c r="F447" s="9">
        <v>6493.92</v>
      </c>
      <c r="G447" s="9">
        <v>187179.0</v>
      </c>
      <c r="H447" s="9">
        <v>9269.0</v>
      </c>
      <c r="I447" s="9">
        <v>1087.0</v>
      </c>
      <c r="J447" s="9">
        <v>43922.24</v>
      </c>
      <c r="K447" s="10">
        <f t="shared" si="1"/>
        <v>0.04951944395</v>
      </c>
      <c r="L447" s="10">
        <f t="shared" si="2"/>
        <v>0.7006063221</v>
      </c>
      <c r="M447" s="10">
        <f t="shared" si="3"/>
        <v>5.974167433</v>
      </c>
      <c r="N447" s="10">
        <f t="shared" si="4"/>
        <v>6.763594254</v>
      </c>
      <c r="O447" s="10">
        <f t="shared" si="5"/>
        <v>37428.32</v>
      </c>
      <c r="P447" s="10">
        <f t="shared" si="6"/>
        <v>85.21496171</v>
      </c>
      <c r="Q447" s="10">
        <f t="shared" si="7"/>
        <v>2025</v>
      </c>
      <c r="R447" s="10">
        <f t="shared" si="8"/>
        <v>3</v>
      </c>
      <c r="S447" s="10" t="str">
        <f t="shared" si="9"/>
        <v>2025-03</v>
      </c>
    </row>
    <row r="448" ht="14.25" customHeight="1">
      <c r="A448" s="7" t="s">
        <v>474</v>
      </c>
      <c r="B448" s="8">
        <v>45710.0</v>
      </c>
      <c r="C448" s="7" t="s">
        <v>33</v>
      </c>
      <c r="D448" s="7" t="s">
        <v>29</v>
      </c>
      <c r="E448" s="9">
        <v>3505.39</v>
      </c>
      <c r="F448" s="9">
        <v>2836.55</v>
      </c>
      <c r="G448" s="9">
        <v>113319.0</v>
      </c>
      <c r="H448" s="9">
        <v>2346.0</v>
      </c>
      <c r="I448" s="9">
        <v>225.0</v>
      </c>
      <c r="J448" s="9">
        <v>6239.36</v>
      </c>
      <c r="K448" s="10">
        <f t="shared" si="1"/>
        <v>0.02070261827</v>
      </c>
      <c r="L448" s="10">
        <f t="shared" si="2"/>
        <v>1.209100597</v>
      </c>
      <c r="M448" s="10">
        <f t="shared" si="3"/>
        <v>12.60688889</v>
      </c>
      <c r="N448" s="10">
        <f t="shared" si="4"/>
        <v>2.199629832</v>
      </c>
      <c r="O448" s="10">
        <f t="shared" si="5"/>
        <v>3402.81</v>
      </c>
      <c r="P448" s="10">
        <f t="shared" si="6"/>
        <v>54.53780516</v>
      </c>
      <c r="Q448" s="10">
        <f t="shared" si="7"/>
        <v>2025</v>
      </c>
      <c r="R448" s="10">
        <f t="shared" si="8"/>
        <v>2</v>
      </c>
      <c r="S448" s="10" t="str">
        <f t="shared" si="9"/>
        <v>2025-02</v>
      </c>
    </row>
    <row r="449" ht="14.25" customHeight="1">
      <c r="A449" s="7" t="s">
        <v>475</v>
      </c>
      <c r="B449" s="8">
        <v>45719.0</v>
      </c>
      <c r="C449" s="7" t="s">
        <v>20</v>
      </c>
      <c r="D449" s="7" t="s">
        <v>26</v>
      </c>
      <c r="E449" s="9">
        <v>6238.36</v>
      </c>
      <c r="F449" s="9">
        <v>6615.67</v>
      </c>
      <c r="G449" s="9">
        <v>97411.0</v>
      </c>
      <c r="H449" s="9">
        <v>2282.0</v>
      </c>
      <c r="I449" s="9">
        <v>391.0</v>
      </c>
      <c r="J449" s="9">
        <v>16349.69</v>
      </c>
      <c r="K449" s="10">
        <f t="shared" si="1"/>
        <v>0.02342651241</v>
      </c>
      <c r="L449" s="10">
        <f t="shared" si="2"/>
        <v>2.899066608</v>
      </c>
      <c r="M449" s="10">
        <f t="shared" si="3"/>
        <v>16.91987212</v>
      </c>
      <c r="N449" s="10">
        <f t="shared" si="4"/>
        <v>2.471358154</v>
      </c>
      <c r="O449" s="10">
        <f t="shared" si="5"/>
        <v>9734.02</v>
      </c>
      <c r="P449" s="10">
        <f t="shared" si="6"/>
        <v>59.53641934</v>
      </c>
      <c r="Q449" s="10">
        <f t="shared" si="7"/>
        <v>2025</v>
      </c>
      <c r="R449" s="10">
        <f t="shared" si="8"/>
        <v>3</v>
      </c>
      <c r="S449" s="10" t="str">
        <f t="shared" si="9"/>
        <v>2025-03</v>
      </c>
    </row>
    <row r="450" ht="14.25" customHeight="1">
      <c r="A450" s="7" t="s">
        <v>476</v>
      </c>
      <c r="B450" s="8">
        <v>45798.0</v>
      </c>
      <c r="C450" s="7" t="s">
        <v>23</v>
      </c>
      <c r="D450" s="7" t="s">
        <v>26</v>
      </c>
      <c r="E450" s="9">
        <v>8198.95</v>
      </c>
      <c r="F450" s="9">
        <v>7605.74</v>
      </c>
      <c r="G450" s="9">
        <v>172776.0</v>
      </c>
      <c r="H450" s="9">
        <v>7965.0</v>
      </c>
      <c r="I450" s="9">
        <v>101.0</v>
      </c>
      <c r="J450" s="9">
        <v>3068.18</v>
      </c>
      <c r="K450" s="10">
        <f t="shared" si="1"/>
        <v>0.0461001528</v>
      </c>
      <c r="L450" s="10">
        <f t="shared" si="2"/>
        <v>0.9548951664</v>
      </c>
      <c r="M450" s="10">
        <f t="shared" si="3"/>
        <v>75.30435644</v>
      </c>
      <c r="N450" s="10">
        <f t="shared" si="4"/>
        <v>0.4034032191</v>
      </c>
      <c r="O450" s="10">
        <f t="shared" si="5"/>
        <v>-4537.56</v>
      </c>
      <c r="P450" s="10">
        <f t="shared" si="6"/>
        <v>-147.8909321</v>
      </c>
      <c r="Q450" s="10">
        <f t="shared" si="7"/>
        <v>2025</v>
      </c>
      <c r="R450" s="10">
        <f t="shared" si="8"/>
        <v>5</v>
      </c>
      <c r="S450" s="10" t="str">
        <f t="shared" si="9"/>
        <v>2025-05</v>
      </c>
    </row>
    <row r="451" ht="14.25" customHeight="1">
      <c r="A451" s="7" t="s">
        <v>477</v>
      </c>
      <c r="B451" s="8">
        <v>45758.0</v>
      </c>
      <c r="C451" s="7" t="s">
        <v>20</v>
      </c>
      <c r="D451" s="7" t="s">
        <v>24</v>
      </c>
      <c r="E451" s="9">
        <v>5597.27</v>
      </c>
      <c r="F451" s="9">
        <v>6136.26</v>
      </c>
      <c r="G451" s="9">
        <v>117252.0</v>
      </c>
      <c r="H451" s="9">
        <v>4476.0</v>
      </c>
      <c r="I451" s="9">
        <v>461.0</v>
      </c>
      <c r="J451" s="9">
        <v>9774.71</v>
      </c>
      <c r="K451" s="10">
        <f t="shared" si="1"/>
        <v>0.03817418893</v>
      </c>
      <c r="L451" s="10">
        <f t="shared" si="2"/>
        <v>1.370924933</v>
      </c>
      <c r="M451" s="10">
        <f t="shared" si="3"/>
        <v>13.31075922</v>
      </c>
      <c r="N451" s="10">
        <f t="shared" si="4"/>
        <v>1.592942607</v>
      </c>
      <c r="O451" s="10">
        <f t="shared" si="5"/>
        <v>3638.45</v>
      </c>
      <c r="P451" s="10">
        <f t="shared" si="6"/>
        <v>37.2230992</v>
      </c>
      <c r="Q451" s="10">
        <f t="shared" si="7"/>
        <v>2025</v>
      </c>
      <c r="R451" s="10">
        <f t="shared" si="8"/>
        <v>4</v>
      </c>
      <c r="S451" s="10" t="str">
        <f t="shared" si="9"/>
        <v>2025-04</v>
      </c>
    </row>
    <row r="452" ht="14.25" customHeight="1">
      <c r="A452" s="7" t="s">
        <v>478</v>
      </c>
      <c r="B452" s="8">
        <v>45687.0</v>
      </c>
      <c r="C452" s="7" t="s">
        <v>28</v>
      </c>
      <c r="D452" s="7" t="s">
        <v>24</v>
      </c>
      <c r="E452" s="9">
        <v>9069.22</v>
      </c>
      <c r="F452" s="9">
        <v>8829.82</v>
      </c>
      <c r="G452" s="9">
        <v>149827.0</v>
      </c>
      <c r="H452" s="9">
        <v>5041.0</v>
      </c>
      <c r="I452" s="9">
        <v>104.0</v>
      </c>
      <c r="J452" s="9">
        <v>3448.48</v>
      </c>
      <c r="K452" s="10">
        <f t="shared" si="1"/>
        <v>0.03364547111</v>
      </c>
      <c r="L452" s="10">
        <f t="shared" si="2"/>
        <v>1.751600873</v>
      </c>
      <c r="M452" s="10">
        <f t="shared" si="3"/>
        <v>84.90211538</v>
      </c>
      <c r="N452" s="10">
        <f t="shared" si="4"/>
        <v>0.3905492977</v>
      </c>
      <c r="O452" s="10">
        <f t="shared" si="5"/>
        <v>-5381.34</v>
      </c>
      <c r="P452" s="10">
        <f t="shared" si="6"/>
        <v>-156.0496219</v>
      </c>
      <c r="Q452" s="10">
        <f t="shared" si="7"/>
        <v>2025</v>
      </c>
      <c r="R452" s="10">
        <f t="shared" si="8"/>
        <v>1</v>
      </c>
      <c r="S452" s="10" t="str">
        <f t="shared" si="9"/>
        <v>2025-01</v>
      </c>
    </row>
    <row r="453" ht="14.25" customHeight="1">
      <c r="A453" s="7" t="s">
        <v>479</v>
      </c>
      <c r="B453" s="8">
        <v>45659.0</v>
      </c>
      <c r="C453" s="7" t="s">
        <v>33</v>
      </c>
      <c r="D453" s="7" t="s">
        <v>26</v>
      </c>
      <c r="E453" s="9">
        <v>8076.8</v>
      </c>
      <c r="F453" s="9">
        <v>7640.66</v>
      </c>
      <c r="G453" s="9">
        <v>148415.0</v>
      </c>
      <c r="H453" s="9">
        <v>5679.0</v>
      </c>
      <c r="I453" s="9">
        <v>1058.0</v>
      </c>
      <c r="J453" s="9">
        <v>48882.45</v>
      </c>
      <c r="K453" s="10">
        <f t="shared" si="1"/>
        <v>0.03826432638</v>
      </c>
      <c r="L453" s="10">
        <f t="shared" si="2"/>
        <v>1.34542349</v>
      </c>
      <c r="M453" s="10">
        <f t="shared" si="3"/>
        <v>7.221795841</v>
      </c>
      <c r="N453" s="10">
        <f t="shared" si="4"/>
        <v>6.397673761</v>
      </c>
      <c r="O453" s="10">
        <f t="shared" si="5"/>
        <v>41241.79</v>
      </c>
      <c r="P453" s="10">
        <f t="shared" si="6"/>
        <v>84.36931864</v>
      </c>
      <c r="Q453" s="10">
        <f t="shared" si="7"/>
        <v>2025</v>
      </c>
      <c r="R453" s="10">
        <f t="shared" si="8"/>
        <v>1</v>
      </c>
      <c r="S453" s="10" t="str">
        <f t="shared" si="9"/>
        <v>2025-01</v>
      </c>
    </row>
    <row r="454" ht="14.25" customHeight="1">
      <c r="A454" s="7" t="s">
        <v>480</v>
      </c>
      <c r="B454" s="8">
        <v>45681.0</v>
      </c>
      <c r="C454" s="7" t="s">
        <v>28</v>
      </c>
      <c r="D454" s="7" t="s">
        <v>26</v>
      </c>
      <c r="E454" s="9">
        <v>9304.91</v>
      </c>
      <c r="F454" s="9">
        <v>8621.15</v>
      </c>
      <c r="G454" s="9">
        <v>96330.0</v>
      </c>
      <c r="H454" s="9">
        <v>1282.0</v>
      </c>
      <c r="I454" s="9">
        <v>150.0</v>
      </c>
      <c r="J454" s="9">
        <v>4245.73</v>
      </c>
      <c r="K454" s="10">
        <f t="shared" si="1"/>
        <v>0.01330841898</v>
      </c>
      <c r="L454" s="10">
        <f t="shared" si="2"/>
        <v>6.724765991</v>
      </c>
      <c r="M454" s="10">
        <f t="shared" si="3"/>
        <v>57.47433333</v>
      </c>
      <c r="N454" s="10">
        <f t="shared" si="4"/>
        <v>0.4924783817</v>
      </c>
      <c r="O454" s="10">
        <f t="shared" si="5"/>
        <v>-4375.42</v>
      </c>
      <c r="P454" s="10">
        <f t="shared" si="6"/>
        <v>-103.0545984</v>
      </c>
      <c r="Q454" s="10">
        <f t="shared" si="7"/>
        <v>2025</v>
      </c>
      <c r="R454" s="10">
        <f t="shared" si="8"/>
        <v>1</v>
      </c>
      <c r="S454" s="10" t="str">
        <f t="shared" si="9"/>
        <v>2025-01</v>
      </c>
    </row>
    <row r="455" ht="14.25" customHeight="1">
      <c r="A455" s="7" t="s">
        <v>481</v>
      </c>
      <c r="B455" s="8">
        <v>45750.0</v>
      </c>
      <c r="C455" s="7" t="s">
        <v>20</v>
      </c>
      <c r="D455" s="7" t="s">
        <v>24</v>
      </c>
      <c r="E455" s="9">
        <v>7146.45</v>
      </c>
      <c r="F455" s="9">
        <v>7673.21</v>
      </c>
      <c r="G455" s="9">
        <v>96745.0</v>
      </c>
      <c r="H455" s="9">
        <v>2886.0</v>
      </c>
      <c r="I455" s="9">
        <v>402.0</v>
      </c>
      <c r="J455" s="9">
        <v>10580.59</v>
      </c>
      <c r="K455" s="10">
        <f t="shared" si="1"/>
        <v>0.02983099902</v>
      </c>
      <c r="L455" s="10">
        <f t="shared" si="2"/>
        <v>2.658769924</v>
      </c>
      <c r="M455" s="10">
        <f t="shared" si="3"/>
        <v>19.08758706</v>
      </c>
      <c r="N455" s="10">
        <f t="shared" si="4"/>
        <v>1.378900095</v>
      </c>
      <c r="O455" s="10">
        <f t="shared" si="5"/>
        <v>2907.38</v>
      </c>
      <c r="P455" s="10">
        <f t="shared" si="6"/>
        <v>27.47842984</v>
      </c>
      <c r="Q455" s="10">
        <f t="shared" si="7"/>
        <v>2025</v>
      </c>
      <c r="R455" s="10">
        <f t="shared" si="8"/>
        <v>4</v>
      </c>
      <c r="S455" s="10" t="str">
        <f t="shared" si="9"/>
        <v>2025-04</v>
      </c>
    </row>
    <row r="456" ht="14.25" customHeight="1">
      <c r="A456" s="7" t="s">
        <v>482</v>
      </c>
      <c r="B456" s="8">
        <v>45682.0</v>
      </c>
      <c r="C456" s="7" t="s">
        <v>33</v>
      </c>
      <c r="D456" s="7" t="s">
        <v>29</v>
      </c>
      <c r="E456" s="9">
        <v>7360.77</v>
      </c>
      <c r="F456" s="9">
        <v>7283.25</v>
      </c>
      <c r="G456" s="9">
        <v>66585.0</v>
      </c>
      <c r="H456" s="9">
        <v>3235.0</v>
      </c>
      <c r="I456" s="9">
        <v>641.0</v>
      </c>
      <c r="J456" s="9">
        <v>26917.76</v>
      </c>
      <c r="K456" s="10">
        <f t="shared" si="1"/>
        <v>0.04858451603</v>
      </c>
      <c r="L456" s="10">
        <f t="shared" si="2"/>
        <v>2.251391036</v>
      </c>
      <c r="M456" s="10">
        <f t="shared" si="3"/>
        <v>11.36232449</v>
      </c>
      <c r="N456" s="10">
        <f t="shared" si="4"/>
        <v>3.695844575</v>
      </c>
      <c r="O456" s="10">
        <f t="shared" si="5"/>
        <v>19634.51</v>
      </c>
      <c r="P456" s="10">
        <f t="shared" si="6"/>
        <v>72.94258512</v>
      </c>
      <c r="Q456" s="10">
        <f t="shared" si="7"/>
        <v>2025</v>
      </c>
      <c r="R456" s="10">
        <f t="shared" si="8"/>
        <v>1</v>
      </c>
      <c r="S456" s="10" t="str">
        <f t="shared" si="9"/>
        <v>2025-01</v>
      </c>
    </row>
    <row r="457" ht="14.25" customHeight="1">
      <c r="A457" s="7" t="s">
        <v>483</v>
      </c>
      <c r="B457" s="8">
        <v>45786.0</v>
      </c>
      <c r="C457" s="7" t="s">
        <v>20</v>
      </c>
      <c r="D457" s="7" t="s">
        <v>26</v>
      </c>
      <c r="E457" s="9">
        <v>3920.97</v>
      </c>
      <c r="F457" s="9">
        <v>3978.79</v>
      </c>
      <c r="G457" s="9">
        <v>192117.0</v>
      </c>
      <c r="H457" s="9">
        <v>4361.0</v>
      </c>
      <c r="I457" s="9">
        <v>98.0</v>
      </c>
      <c r="J457" s="9">
        <v>4632.56</v>
      </c>
      <c r="K457" s="10">
        <f t="shared" si="1"/>
        <v>0.02269970903</v>
      </c>
      <c r="L457" s="10">
        <f t="shared" si="2"/>
        <v>0.9123572575</v>
      </c>
      <c r="M457" s="10">
        <f t="shared" si="3"/>
        <v>40.59989796</v>
      </c>
      <c r="N457" s="10">
        <f t="shared" si="4"/>
        <v>1.164313774</v>
      </c>
      <c r="O457" s="10">
        <f t="shared" si="5"/>
        <v>653.77</v>
      </c>
      <c r="P457" s="10">
        <f t="shared" si="6"/>
        <v>14.11249935</v>
      </c>
      <c r="Q457" s="10">
        <f t="shared" si="7"/>
        <v>2025</v>
      </c>
      <c r="R457" s="10">
        <f t="shared" si="8"/>
        <v>5</v>
      </c>
      <c r="S457" s="10" t="str">
        <f t="shared" si="9"/>
        <v>2025-05</v>
      </c>
    </row>
    <row r="458" ht="14.25" customHeight="1">
      <c r="A458" s="7" t="s">
        <v>484</v>
      </c>
      <c r="B458" s="8">
        <v>45686.0</v>
      </c>
      <c r="C458" s="7" t="s">
        <v>31</v>
      </c>
      <c r="D458" s="7" t="s">
        <v>29</v>
      </c>
      <c r="E458" s="9">
        <v>4257.78</v>
      </c>
      <c r="F458" s="9">
        <v>3709.65</v>
      </c>
      <c r="G458" s="9">
        <v>194804.0</v>
      </c>
      <c r="H458" s="9">
        <v>8803.0</v>
      </c>
      <c r="I458" s="9">
        <v>1231.0</v>
      </c>
      <c r="J458" s="9">
        <v>60493.62</v>
      </c>
      <c r="K458" s="10">
        <f t="shared" si="1"/>
        <v>0.04518901049</v>
      </c>
      <c r="L458" s="10">
        <f t="shared" si="2"/>
        <v>0.4214074747</v>
      </c>
      <c r="M458" s="10">
        <f t="shared" si="3"/>
        <v>3.013525589</v>
      </c>
      <c r="N458" s="10">
        <f t="shared" si="4"/>
        <v>16.30709636</v>
      </c>
      <c r="O458" s="10">
        <f t="shared" si="5"/>
        <v>56783.97</v>
      </c>
      <c r="P458" s="10">
        <f t="shared" si="6"/>
        <v>93.86770043</v>
      </c>
      <c r="Q458" s="10">
        <f t="shared" si="7"/>
        <v>2025</v>
      </c>
      <c r="R458" s="10">
        <f t="shared" si="8"/>
        <v>1</v>
      </c>
      <c r="S458" s="10" t="str">
        <f t="shared" si="9"/>
        <v>2025-01</v>
      </c>
    </row>
    <row r="459" ht="14.25" customHeight="1">
      <c r="A459" s="7" t="s">
        <v>485</v>
      </c>
      <c r="B459" s="8">
        <v>45670.0</v>
      </c>
      <c r="C459" s="7" t="s">
        <v>33</v>
      </c>
      <c r="D459" s="7" t="s">
        <v>24</v>
      </c>
      <c r="E459" s="9">
        <v>4266.84</v>
      </c>
      <c r="F459" s="9">
        <v>4507.13</v>
      </c>
      <c r="G459" s="9">
        <v>91032.0</v>
      </c>
      <c r="H459" s="9">
        <v>3308.0</v>
      </c>
      <c r="I459" s="9">
        <v>330.0</v>
      </c>
      <c r="J459" s="9">
        <v>11473.55</v>
      </c>
      <c r="K459" s="10">
        <f t="shared" si="1"/>
        <v>0.03633886985</v>
      </c>
      <c r="L459" s="10">
        <f t="shared" si="2"/>
        <v>1.362493954</v>
      </c>
      <c r="M459" s="10">
        <f t="shared" si="3"/>
        <v>13.6579697</v>
      </c>
      <c r="N459" s="10">
        <f t="shared" si="4"/>
        <v>2.545644346</v>
      </c>
      <c r="O459" s="10">
        <f t="shared" si="5"/>
        <v>6966.42</v>
      </c>
      <c r="P459" s="10">
        <f t="shared" si="6"/>
        <v>60.71721481</v>
      </c>
      <c r="Q459" s="10">
        <f t="shared" si="7"/>
        <v>2025</v>
      </c>
      <c r="R459" s="10">
        <f t="shared" si="8"/>
        <v>1</v>
      </c>
      <c r="S459" s="10" t="str">
        <f t="shared" si="9"/>
        <v>2025-01</v>
      </c>
    </row>
    <row r="460" ht="14.25" customHeight="1">
      <c r="A460" s="7" t="s">
        <v>486</v>
      </c>
      <c r="B460" s="8">
        <v>45739.0</v>
      </c>
      <c r="C460" s="7" t="s">
        <v>20</v>
      </c>
      <c r="D460" s="7" t="s">
        <v>29</v>
      </c>
      <c r="E460" s="9">
        <v>4730.62</v>
      </c>
      <c r="F460" s="9">
        <v>5020.25</v>
      </c>
      <c r="G460" s="9">
        <v>116506.0</v>
      </c>
      <c r="H460" s="9">
        <v>4331.0</v>
      </c>
      <c r="I460" s="9">
        <v>122.0</v>
      </c>
      <c r="J460" s="9">
        <v>4069.82</v>
      </c>
      <c r="K460" s="10">
        <f t="shared" si="1"/>
        <v>0.03717405112</v>
      </c>
      <c r="L460" s="10">
        <f t="shared" si="2"/>
        <v>1.159143385</v>
      </c>
      <c r="M460" s="10">
        <f t="shared" si="3"/>
        <v>41.14959016</v>
      </c>
      <c r="N460" s="10">
        <f t="shared" si="4"/>
        <v>0.810680743</v>
      </c>
      <c r="O460" s="10">
        <f t="shared" si="5"/>
        <v>-950.43</v>
      </c>
      <c r="P460" s="10">
        <f t="shared" si="6"/>
        <v>-23.35312127</v>
      </c>
      <c r="Q460" s="10">
        <f t="shared" si="7"/>
        <v>2025</v>
      </c>
      <c r="R460" s="10">
        <f t="shared" si="8"/>
        <v>3</v>
      </c>
      <c r="S460" s="10" t="str">
        <f t="shared" si="9"/>
        <v>2025-03</v>
      </c>
    </row>
    <row r="461" ht="14.25" customHeight="1">
      <c r="A461" s="7" t="s">
        <v>487</v>
      </c>
      <c r="B461" s="8">
        <v>45639.0</v>
      </c>
      <c r="C461" s="7" t="s">
        <v>33</v>
      </c>
      <c r="D461" s="7" t="s">
        <v>24</v>
      </c>
      <c r="E461" s="9">
        <v>6603.72</v>
      </c>
      <c r="F461" s="9">
        <v>5994.66</v>
      </c>
      <c r="G461" s="9">
        <v>55887.0</v>
      </c>
      <c r="H461" s="9">
        <v>1060.0</v>
      </c>
      <c r="I461" s="9">
        <v>202.0</v>
      </c>
      <c r="J461" s="9">
        <v>7633.28</v>
      </c>
      <c r="K461" s="10">
        <f t="shared" si="1"/>
        <v>0.01896684381</v>
      </c>
      <c r="L461" s="10">
        <f t="shared" si="2"/>
        <v>5.655339623</v>
      </c>
      <c r="M461" s="10">
        <f t="shared" si="3"/>
        <v>29.67653465</v>
      </c>
      <c r="N461" s="10">
        <f t="shared" si="4"/>
        <v>1.273346612</v>
      </c>
      <c r="O461" s="10">
        <f t="shared" si="5"/>
        <v>1638.62</v>
      </c>
      <c r="P461" s="10">
        <f t="shared" si="6"/>
        <v>21.46678754</v>
      </c>
      <c r="Q461" s="10">
        <f t="shared" si="7"/>
        <v>2024</v>
      </c>
      <c r="R461" s="10">
        <f t="shared" si="8"/>
        <v>12</v>
      </c>
      <c r="S461" s="10" t="str">
        <f t="shared" si="9"/>
        <v>2024-12</v>
      </c>
    </row>
    <row r="462" ht="14.25" customHeight="1">
      <c r="A462" s="7" t="s">
        <v>488</v>
      </c>
      <c r="B462" s="8">
        <v>45655.0</v>
      </c>
      <c r="C462" s="7" t="s">
        <v>20</v>
      </c>
      <c r="D462" s="7" t="s">
        <v>24</v>
      </c>
      <c r="E462" s="9">
        <v>4144.67</v>
      </c>
      <c r="F462" s="9">
        <v>3802.01</v>
      </c>
      <c r="G462" s="9">
        <v>111392.0</v>
      </c>
      <c r="H462" s="9">
        <v>4309.0</v>
      </c>
      <c r="I462" s="9">
        <v>82.0</v>
      </c>
      <c r="J462" s="9">
        <v>4024.75</v>
      </c>
      <c r="K462" s="10">
        <f t="shared" si="1"/>
        <v>0.03868320885</v>
      </c>
      <c r="L462" s="10">
        <f t="shared" si="2"/>
        <v>0.8823416106</v>
      </c>
      <c r="M462" s="10">
        <f t="shared" si="3"/>
        <v>46.36597561</v>
      </c>
      <c r="N462" s="10">
        <f t="shared" si="4"/>
        <v>1.058584801</v>
      </c>
      <c r="O462" s="10">
        <f t="shared" si="5"/>
        <v>222.74</v>
      </c>
      <c r="P462" s="10">
        <f t="shared" si="6"/>
        <v>5.534256786</v>
      </c>
      <c r="Q462" s="10">
        <f t="shared" si="7"/>
        <v>2024</v>
      </c>
      <c r="R462" s="10">
        <f t="shared" si="8"/>
        <v>12</v>
      </c>
      <c r="S462" s="10" t="str">
        <f t="shared" si="9"/>
        <v>2024-12</v>
      </c>
    </row>
    <row r="463" ht="14.25" customHeight="1">
      <c r="A463" s="7" t="s">
        <v>489</v>
      </c>
      <c r="B463" s="8">
        <v>45776.0</v>
      </c>
      <c r="C463" s="7" t="s">
        <v>33</v>
      </c>
      <c r="D463" s="7" t="s">
        <v>24</v>
      </c>
      <c r="E463" s="9">
        <v>4806.93</v>
      </c>
      <c r="F463" s="9">
        <v>4792.61</v>
      </c>
      <c r="G463" s="9">
        <v>127536.0</v>
      </c>
      <c r="H463" s="9">
        <v>1590.0</v>
      </c>
      <c r="I463" s="9">
        <v>273.0</v>
      </c>
      <c r="J463" s="9">
        <v>8123.31</v>
      </c>
      <c r="K463" s="10">
        <f t="shared" si="1"/>
        <v>0.01246706812</v>
      </c>
      <c r="L463" s="10">
        <f t="shared" si="2"/>
        <v>3.014220126</v>
      </c>
      <c r="M463" s="10">
        <f t="shared" si="3"/>
        <v>17.55534799</v>
      </c>
      <c r="N463" s="10">
        <f t="shared" si="4"/>
        <v>1.694965791</v>
      </c>
      <c r="O463" s="10">
        <f t="shared" si="5"/>
        <v>3330.7</v>
      </c>
      <c r="P463" s="10">
        <f t="shared" si="6"/>
        <v>41.00175914</v>
      </c>
      <c r="Q463" s="10">
        <f t="shared" si="7"/>
        <v>2025</v>
      </c>
      <c r="R463" s="10">
        <f t="shared" si="8"/>
        <v>4</v>
      </c>
      <c r="S463" s="10" t="str">
        <f t="shared" si="9"/>
        <v>2025-04</v>
      </c>
    </row>
    <row r="464" ht="14.25" customHeight="1">
      <c r="A464" s="7" t="s">
        <v>490</v>
      </c>
      <c r="B464" s="8">
        <v>45733.0</v>
      </c>
      <c r="C464" s="7" t="s">
        <v>31</v>
      </c>
      <c r="D464" s="7" t="s">
        <v>24</v>
      </c>
      <c r="E464" s="9">
        <v>8414.31</v>
      </c>
      <c r="F464" s="9">
        <v>7061.81</v>
      </c>
      <c r="G464" s="9">
        <v>72374.0</v>
      </c>
      <c r="H464" s="9">
        <v>1961.0</v>
      </c>
      <c r="I464" s="9">
        <v>102.0</v>
      </c>
      <c r="J464" s="9">
        <v>5007.65</v>
      </c>
      <c r="K464" s="10">
        <f t="shared" si="1"/>
        <v>0.02709536574</v>
      </c>
      <c r="L464" s="10">
        <f t="shared" si="2"/>
        <v>3.601126976</v>
      </c>
      <c r="M464" s="10">
        <f t="shared" si="3"/>
        <v>69.23343137</v>
      </c>
      <c r="N464" s="10">
        <f t="shared" si="4"/>
        <v>0.7091170677</v>
      </c>
      <c r="O464" s="10">
        <f t="shared" si="5"/>
        <v>-2054.16</v>
      </c>
      <c r="P464" s="10">
        <f t="shared" si="6"/>
        <v>-41.02043873</v>
      </c>
      <c r="Q464" s="10">
        <f t="shared" si="7"/>
        <v>2025</v>
      </c>
      <c r="R464" s="10">
        <f t="shared" si="8"/>
        <v>3</v>
      </c>
      <c r="S464" s="10" t="str">
        <f t="shared" si="9"/>
        <v>2025-03</v>
      </c>
    </row>
    <row r="465" ht="14.25" customHeight="1">
      <c r="A465" s="7" t="s">
        <v>491</v>
      </c>
      <c r="B465" s="8">
        <v>45736.0</v>
      </c>
      <c r="C465" s="7" t="s">
        <v>28</v>
      </c>
      <c r="D465" s="7" t="s">
        <v>26</v>
      </c>
      <c r="E465" s="9">
        <v>6176.53</v>
      </c>
      <c r="F465" s="9">
        <v>5378.62</v>
      </c>
      <c r="G465" s="9">
        <v>194426.0</v>
      </c>
      <c r="H465" s="9">
        <v>2729.0</v>
      </c>
      <c r="I465" s="9">
        <v>147.0</v>
      </c>
      <c r="J465" s="9">
        <v>3264.12</v>
      </c>
      <c r="K465" s="10">
        <f t="shared" si="1"/>
        <v>0.01403618858</v>
      </c>
      <c r="L465" s="10">
        <f t="shared" si="2"/>
        <v>1.970912422</v>
      </c>
      <c r="M465" s="10">
        <f t="shared" si="3"/>
        <v>36.5892517</v>
      </c>
      <c r="N465" s="10">
        <f t="shared" si="4"/>
        <v>0.60686942</v>
      </c>
      <c r="O465" s="10">
        <f t="shared" si="5"/>
        <v>-2114.5</v>
      </c>
      <c r="P465" s="10">
        <f t="shared" si="6"/>
        <v>-64.78009387</v>
      </c>
      <c r="Q465" s="10">
        <f t="shared" si="7"/>
        <v>2025</v>
      </c>
      <c r="R465" s="10">
        <f t="shared" si="8"/>
        <v>3</v>
      </c>
      <c r="S465" s="10" t="str">
        <f t="shared" si="9"/>
        <v>2025-03</v>
      </c>
    </row>
    <row r="466" ht="14.25" customHeight="1">
      <c r="A466" s="7" t="s">
        <v>492</v>
      </c>
      <c r="B466" s="8">
        <v>45761.0</v>
      </c>
      <c r="C466" s="7" t="s">
        <v>31</v>
      </c>
      <c r="D466" s="7" t="s">
        <v>24</v>
      </c>
      <c r="E466" s="9">
        <v>4188.31</v>
      </c>
      <c r="F466" s="9">
        <v>4003.74</v>
      </c>
      <c r="G466" s="9">
        <v>63381.0</v>
      </c>
      <c r="H466" s="9">
        <v>1826.0</v>
      </c>
      <c r="I466" s="9">
        <v>231.0</v>
      </c>
      <c r="J466" s="9">
        <v>6955.43</v>
      </c>
      <c r="K466" s="10">
        <f t="shared" si="1"/>
        <v>0.02880989571</v>
      </c>
      <c r="L466" s="10">
        <f t="shared" si="2"/>
        <v>2.192628697</v>
      </c>
      <c r="M466" s="10">
        <f t="shared" si="3"/>
        <v>17.33220779</v>
      </c>
      <c r="N466" s="10">
        <f t="shared" si="4"/>
        <v>1.737233187</v>
      </c>
      <c r="O466" s="10">
        <f t="shared" si="5"/>
        <v>2951.69</v>
      </c>
      <c r="P466" s="10">
        <f t="shared" si="6"/>
        <v>42.43720374</v>
      </c>
      <c r="Q466" s="10">
        <f t="shared" si="7"/>
        <v>2025</v>
      </c>
      <c r="R466" s="10">
        <f t="shared" si="8"/>
        <v>4</v>
      </c>
      <c r="S466" s="10" t="str">
        <f t="shared" si="9"/>
        <v>2025-04</v>
      </c>
    </row>
    <row r="467" ht="14.25" customHeight="1">
      <c r="A467" s="7" t="s">
        <v>493</v>
      </c>
      <c r="B467" s="8">
        <v>45719.0</v>
      </c>
      <c r="C467" s="7" t="s">
        <v>33</v>
      </c>
      <c r="D467" s="7" t="s">
        <v>24</v>
      </c>
      <c r="E467" s="9">
        <v>8802.18</v>
      </c>
      <c r="F467" s="9">
        <v>8179.57</v>
      </c>
      <c r="G467" s="9">
        <v>109943.0</v>
      </c>
      <c r="H467" s="9">
        <v>4843.0</v>
      </c>
      <c r="I467" s="9">
        <v>579.0</v>
      </c>
      <c r="J467" s="9">
        <v>15900.17</v>
      </c>
      <c r="K467" s="10">
        <f t="shared" si="1"/>
        <v>0.04405009869</v>
      </c>
      <c r="L467" s="10">
        <f t="shared" si="2"/>
        <v>1.688946934</v>
      </c>
      <c r="M467" s="10">
        <f t="shared" si="3"/>
        <v>14.1270639</v>
      </c>
      <c r="N467" s="10">
        <f t="shared" si="4"/>
        <v>1.943888248</v>
      </c>
      <c r="O467" s="10">
        <f t="shared" si="5"/>
        <v>7720.6</v>
      </c>
      <c r="P467" s="10">
        <f t="shared" si="6"/>
        <v>48.55671354</v>
      </c>
      <c r="Q467" s="10">
        <f t="shared" si="7"/>
        <v>2025</v>
      </c>
      <c r="R467" s="10">
        <f t="shared" si="8"/>
        <v>3</v>
      </c>
      <c r="S467" s="10" t="str">
        <f t="shared" si="9"/>
        <v>2025-03</v>
      </c>
    </row>
    <row r="468" ht="14.25" customHeight="1">
      <c r="A468" s="7" t="s">
        <v>494</v>
      </c>
      <c r="B468" s="8">
        <v>45768.0</v>
      </c>
      <c r="C468" s="7" t="s">
        <v>31</v>
      </c>
      <c r="D468" s="7" t="s">
        <v>29</v>
      </c>
      <c r="E468" s="9">
        <v>7320.01</v>
      </c>
      <c r="F468" s="9">
        <v>7408.09</v>
      </c>
      <c r="G468" s="9">
        <v>142900.0</v>
      </c>
      <c r="H468" s="9">
        <v>3707.0</v>
      </c>
      <c r="I468" s="9">
        <v>151.0</v>
      </c>
      <c r="J468" s="9">
        <v>3776.7</v>
      </c>
      <c r="K468" s="10">
        <f t="shared" si="1"/>
        <v>0.02594121763</v>
      </c>
      <c r="L468" s="10">
        <f t="shared" si="2"/>
        <v>1.998405719</v>
      </c>
      <c r="M468" s="10">
        <f t="shared" si="3"/>
        <v>49.06019868</v>
      </c>
      <c r="N468" s="10">
        <f t="shared" si="4"/>
        <v>0.5098075212</v>
      </c>
      <c r="O468" s="10">
        <f t="shared" si="5"/>
        <v>-3631.39</v>
      </c>
      <c r="P468" s="10">
        <f t="shared" si="6"/>
        <v>-96.15246114</v>
      </c>
      <c r="Q468" s="10">
        <f t="shared" si="7"/>
        <v>2025</v>
      </c>
      <c r="R468" s="10">
        <f t="shared" si="8"/>
        <v>4</v>
      </c>
      <c r="S468" s="10" t="str">
        <f t="shared" si="9"/>
        <v>2025-04</v>
      </c>
    </row>
    <row r="469" ht="14.25" customHeight="1">
      <c r="A469" s="7" t="s">
        <v>495</v>
      </c>
      <c r="B469" s="8">
        <v>45666.0</v>
      </c>
      <c r="C469" s="7" t="s">
        <v>31</v>
      </c>
      <c r="D469" s="7" t="s">
        <v>26</v>
      </c>
      <c r="E469" s="9">
        <v>4173.33</v>
      </c>
      <c r="F469" s="9">
        <v>3384.58</v>
      </c>
      <c r="G469" s="9">
        <v>197974.0</v>
      </c>
      <c r="H469" s="9">
        <v>4601.0</v>
      </c>
      <c r="I469" s="9">
        <v>675.0</v>
      </c>
      <c r="J469" s="9">
        <v>28412.14</v>
      </c>
      <c r="K469" s="10">
        <f t="shared" si="1"/>
        <v>0.02324042551</v>
      </c>
      <c r="L469" s="10">
        <f t="shared" si="2"/>
        <v>0.7356183438</v>
      </c>
      <c r="M469" s="10">
        <f t="shared" si="3"/>
        <v>5.014192593</v>
      </c>
      <c r="N469" s="10">
        <f t="shared" si="4"/>
        <v>8.394583671</v>
      </c>
      <c r="O469" s="10">
        <f t="shared" si="5"/>
        <v>25027.56</v>
      </c>
      <c r="P469" s="10">
        <f t="shared" si="6"/>
        <v>88.08755694</v>
      </c>
      <c r="Q469" s="10">
        <f t="shared" si="7"/>
        <v>2025</v>
      </c>
      <c r="R469" s="10">
        <f t="shared" si="8"/>
        <v>1</v>
      </c>
      <c r="S469" s="10" t="str">
        <f t="shared" si="9"/>
        <v>2025-01</v>
      </c>
    </row>
    <row r="470" ht="14.25" customHeight="1">
      <c r="A470" s="7" t="s">
        <v>496</v>
      </c>
      <c r="B470" s="8">
        <v>45811.0</v>
      </c>
      <c r="C470" s="7" t="s">
        <v>20</v>
      </c>
      <c r="D470" s="7" t="s">
        <v>24</v>
      </c>
      <c r="E470" s="9">
        <v>7646.63</v>
      </c>
      <c r="F470" s="9">
        <v>7206.1</v>
      </c>
      <c r="G470" s="9">
        <v>102196.0</v>
      </c>
      <c r="H470" s="9">
        <v>4290.0</v>
      </c>
      <c r="I470" s="9">
        <v>391.0</v>
      </c>
      <c r="J470" s="9">
        <v>17722.12</v>
      </c>
      <c r="K470" s="10">
        <f t="shared" si="1"/>
        <v>0.04197815961</v>
      </c>
      <c r="L470" s="10">
        <f t="shared" si="2"/>
        <v>1.67974359</v>
      </c>
      <c r="M470" s="10">
        <f t="shared" si="3"/>
        <v>18.42992327</v>
      </c>
      <c r="N470" s="10">
        <f t="shared" si="4"/>
        <v>2.459321963</v>
      </c>
      <c r="O470" s="10">
        <f t="shared" si="5"/>
        <v>10516.02</v>
      </c>
      <c r="P470" s="10">
        <f t="shared" si="6"/>
        <v>59.33838615</v>
      </c>
      <c r="Q470" s="10">
        <f t="shared" si="7"/>
        <v>2025</v>
      </c>
      <c r="R470" s="10">
        <f t="shared" si="8"/>
        <v>6</v>
      </c>
      <c r="S470" s="10" t="str">
        <f t="shared" si="9"/>
        <v>2025-06</v>
      </c>
    </row>
    <row r="471" ht="14.25" customHeight="1">
      <c r="A471" s="7" t="s">
        <v>497</v>
      </c>
      <c r="B471" s="8">
        <v>45686.0</v>
      </c>
      <c r="C471" s="7" t="s">
        <v>20</v>
      </c>
      <c r="D471" s="7" t="s">
        <v>21</v>
      </c>
      <c r="E471" s="9">
        <v>8639.69</v>
      </c>
      <c r="F471" s="9">
        <v>8428.94</v>
      </c>
      <c r="G471" s="9">
        <v>72102.0</v>
      </c>
      <c r="H471" s="9">
        <v>2351.0</v>
      </c>
      <c r="I471" s="9">
        <v>159.0</v>
      </c>
      <c r="J471" s="9">
        <v>7321.65</v>
      </c>
      <c r="K471" s="10">
        <f t="shared" si="1"/>
        <v>0.03260658512</v>
      </c>
      <c r="L471" s="10">
        <f t="shared" si="2"/>
        <v>3.585257337</v>
      </c>
      <c r="M471" s="10">
        <f t="shared" si="3"/>
        <v>53.01220126</v>
      </c>
      <c r="N471" s="10">
        <f t="shared" si="4"/>
        <v>0.8686323547</v>
      </c>
      <c r="O471" s="10">
        <f t="shared" si="5"/>
        <v>-1107.29</v>
      </c>
      <c r="P471" s="10">
        <f t="shared" si="6"/>
        <v>-15.12350358</v>
      </c>
      <c r="Q471" s="10">
        <f t="shared" si="7"/>
        <v>2025</v>
      </c>
      <c r="R471" s="10">
        <f t="shared" si="8"/>
        <v>1</v>
      </c>
      <c r="S471" s="10" t="str">
        <f t="shared" si="9"/>
        <v>2025-01</v>
      </c>
    </row>
    <row r="472" ht="14.25" customHeight="1">
      <c r="A472" s="7" t="s">
        <v>498</v>
      </c>
      <c r="B472" s="8">
        <v>45806.0</v>
      </c>
      <c r="C472" s="7" t="s">
        <v>20</v>
      </c>
      <c r="D472" s="7" t="s">
        <v>26</v>
      </c>
      <c r="E472" s="9">
        <v>4440.89</v>
      </c>
      <c r="F472" s="9">
        <v>3701.82</v>
      </c>
      <c r="G472" s="9">
        <v>138622.0</v>
      </c>
      <c r="H472" s="9">
        <v>4757.0</v>
      </c>
      <c r="I472" s="9">
        <v>629.0</v>
      </c>
      <c r="J472" s="9">
        <v>17670.18</v>
      </c>
      <c r="K472" s="10">
        <f t="shared" si="1"/>
        <v>0.03431634228</v>
      </c>
      <c r="L472" s="10">
        <f t="shared" si="2"/>
        <v>0.7781837292</v>
      </c>
      <c r="M472" s="10">
        <f t="shared" si="3"/>
        <v>5.885246423</v>
      </c>
      <c r="N472" s="10">
        <f t="shared" si="4"/>
        <v>4.773376339</v>
      </c>
      <c r="O472" s="10">
        <f t="shared" si="5"/>
        <v>13968.36</v>
      </c>
      <c r="P472" s="10">
        <f t="shared" si="6"/>
        <v>79.05046808</v>
      </c>
      <c r="Q472" s="10">
        <f t="shared" si="7"/>
        <v>2025</v>
      </c>
      <c r="R472" s="10">
        <f t="shared" si="8"/>
        <v>5</v>
      </c>
      <c r="S472" s="10" t="str">
        <f t="shared" si="9"/>
        <v>2025-05</v>
      </c>
    </row>
    <row r="473" ht="14.25" customHeight="1">
      <c r="A473" s="7" t="s">
        <v>499</v>
      </c>
      <c r="B473" s="8">
        <v>45654.0</v>
      </c>
      <c r="C473" s="7" t="s">
        <v>33</v>
      </c>
      <c r="D473" s="7" t="s">
        <v>24</v>
      </c>
      <c r="E473" s="9">
        <v>3399.61</v>
      </c>
      <c r="F473" s="9">
        <v>3261.42</v>
      </c>
      <c r="G473" s="9">
        <v>75127.0</v>
      </c>
      <c r="H473" s="9">
        <v>3158.0</v>
      </c>
      <c r="I473" s="9">
        <v>620.0</v>
      </c>
      <c r="J473" s="9">
        <v>29820.87</v>
      </c>
      <c r="K473" s="10">
        <f t="shared" si="1"/>
        <v>0.04203548658</v>
      </c>
      <c r="L473" s="10">
        <f t="shared" si="2"/>
        <v>1.032748575</v>
      </c>
      <c r="M473" s="10">
        <f t="shared" si="3"/>
        <v>5.260354839</v>
      </c>
      <c r="N473" s="10">
        <f t="shared" si="4"/>
        <v>9.143523373</v>
      </c>
      <c r="O473" s="10">
        <f t="shared" si="5"/>
        <v>26559.45</v>
      </c>
      <c r="P473" s="10">
        <f t="shared" si="6"/>
        <v>89.06329695</v>
      </c>
      <c r="Q473" s="10">
        <f t="shared" si="7"/>
        <v>2024</v>
      </c>
      <c r="R473" s="10">
        <f t="shared" si="8"/>
        <v>12</v>
      </c>
      <c r="S473" s="10" t="str">
        <f t="shared" si="9"/>
        <v>2024-12</v>
      </c>
    </row>
    <row r="474" ht="14.25" customHeight="1">
      <c r="A474" s="7" t="s">
        <v>500</v>
      </c>
      <c r="B474" s="8">
        <v>45674.0</v>
      </c>
      <c r="C474" s="7" t="s">
        <v>31</v>
      </c>
      <c r="D474" s="7" t="s">
        <v>26</v>
      </c>
      <c r="E474" s="9">
        <v>3275.4</v>
      </c>
      <c r="F474" s="9">
        <v>2740.31</v>
      </c>
      <c r="G474" s="9">
        <v>65706.0</v>
      </c>
      <c r="H474" s="9">
        <v>3012.0</v>
      </c>
      <c r="I474" s="9">
        <v>475.0</v>
      </c>
      <c r="J474" s="9">
        <v>15943.84</v>
      </c>
      <c r="K474" s="10">
        <f t="shared" si="1"/>
        <v>0.04584056251</v>
      </c>
      <c r="L474" s="10">
        <f t="shared" si="2"/>
        <v>0.9097974768</v>
      </c>
      <c r="M474" s="10">
        <f t="shared" si="3"/>
        <v>5.769073684</v>
      </c>
      <c r="N474" s="10">
        <f t="shared" si="4"/>
        <v>5.818261438</v>
      </c>
      <c r="O474" s="10">
        <f t="shared" si="5"/>
        <v>13203.53</v>
      </c>
      <c r="P474" s="10">
        <f t="shared" si="6"/>
        <v>82.8127352</v>
      </c>
      <c r="Q474" s="10">
        <f t="shared" si="7"/>
        <v>2025</v>
      </c>
      <c r="R474" s="10">
        <f t="shared" si="8"/>
        <v>1</v>
      </c>
      <c r="S474" s="10" t="str">
        <f t="shared" si="9"/>
        <v>2025-01</v>
      </c>
    </row>
    <row r="475" ht="14.25" customHeight="1">
      <c r="A475" s="7" t="s">
        <v>501</v>
      </c>
      <c r="B475" s="8">
        <v>45782.0</v>
      </c>
      <c r="C475" s="7" t="s">
        <v>33</v>
      </c>
      <c r="D475" s="7" t="s">
        <v>24</v>
      </c>
      <c r="E475" s="9">
        <v>9537.13</v>
      </c>
      <c r="F475" s="9">
        <v>8534.27</v>
      </c>
      <c r="G475" s="9">
        <v>59862.0</v>
      </c>
      <c r="H475" s="9">
        <v>2333.0</v>
      </c>
      <c r="I475" s="9">
        <v>272.0</v>
      </c>
      <c r="J475" s="9">
        <v>9579.04</v>
      </c>
      <c r="K475" s="10">
        <f t="shared" si="1"/>
        <v>0.03897297117</v>
      </c>
      <c r="L475" s="10">
        <f t="shared" si="2"/>
        <v>3.658066867</v>
      </c>
      <c r="M475" s="10">
        <f t="shared" si="3"/>
        <v>31.37599265</v>
      </c>
      <c r="N475" s="10">
        <f t="shared" si="4"/>
        <v>1.122420547</v>
      </c>
      <c r="O475" s="10">
        <f t="shared" si="5"/>
        <v>1044.77</v>
      </c>
      <c r="P475" s="10">
        <f t="shared" si="6"/>
        <v>10.90683409</v>
      </c>
      <c r="Q475" s="10">
        <f t="shared" si="7"/>
        <v>2025</v>
      </c>
      <c r="R475" s="10">
        <f t="shared" si="8"/>
        <v>5</v>
      </c>
      <c r="S475" s="10" t="str">
        <f t="shared" si="9"/>
        <v>2025-05</v>
      </c>
    </row>
    <row r="476" ht="14.25" customHeight="1">
      <c r="A476" s="7" t="s">
        <v>502</v>
      </c>
      <c r="B476" s="8">
        <v>45658.0</v>
      </c>
      <c r="C476" s="7" t="s">
        <v>31</v>
      </c>
      <c r="D476" s="7" t="s">
        <v>26</v>
      </c>
      <c r="E476" s="9">
        <v>3291.01</v>
      </c>
      <c r="F476" s="9">
        <v>2779.27</v>
      </c>
      <c r="G476" s="9">
        <v>74195.0</v>
      </c>
      <c r="H476" s="9">
        <v>2526.0</v>
      </c>
      <c r="I476" s="9">
        <v>392.0</v>
      </c>
      <c r="J476" s="9">
        <v>19442.77</v>
      </c>
      <c r="K476" s="10">
        <f t="shared" si="1"/>
        <v>0.03404542085</v>
      </c>
      <c r="L476" s="10">
        <f t="shared" si="2"/>
        <v>1.100265241</v>
      </c>
      <c r="M476" s="10">
        <f t="shared" si="3"/>
        <v>7.08997449</v>
      </c>
      <c r="N476" s="10">
        <f t="shared" si="4"/>
        <v>6.995639143</v>
      </c>
      <c r="O476" s="10">
        <f t="shared" si="5"/>
        <v>16663.5</v>
      </c>
      <c r="P476" s="10">
        <f t="shared" si="6"/>
        <v>85.70538046</v>
      </c>
      <c r="Q476" s="10">
        <f t="shared" si="7"/>
        <v>2025</v>
      </c>
      <c r="R476" s="10">
        <f t="shared" si="8"/>
        <v>1</v>
      </c>
      <c r="S476" s="10" t="str">
        <f t="shared" si="9"/>
        <v>2025-01</v>
      </c>
    </row>
    <row r="477" ht="14.25" customHeight="1">
      <c r="A477" s="7" t="s">
        <v>503</v>
      </c>
      <c r="B477" s="8">
        <v>45682.0</v>
      </c>
      <c r="C477" s="7" t="s">
        <v>33</v>
      </c>
      <c r="D477" s="7" t="s">
        <v>26</v>
      </c>
      <c r="E477" s="9">
        <v>9755.83</v>
      </c>
      <c r="F477" s="9">
        <v>7819.12</v>
      </c>
      <c r="G477" s="9">
        <v>175747.0</v>
      </c>
      <c r="H477" s="9">
        <v>7548.0</v>
      </c>
      <c r="I477" s="9">
        <v>1026.0</v>
      </c>
      <c r="J477" s="9">
        <v>49816.77</v>
      </c>
      <c r="K477" s="10">
        <f t="shared" si="1"/>
        <v>0.04294810153</v>
      </c>
      <c r="L477" s="10">
        <f t="shared" si="2"/>
        <v>1.035919449</v>
      </c>
      <c r="M477" s="10">
        <f t="shared" si="3"/>
        <v>7.620974659</v>
      </c>
      <c r="N477" s="10">
        <f t="shared" si="4"/>
        <v>6.371147904</v>
      </c>
      <c r="O477" s="10">
        <f t="shared" si="5"/>
        <v>41997.65</v>
      </c>
      <c r="P477" s="10">
        <f t="shared" si="6"/>
        <v>84.30424132</v>
      </c>
      <c r="Q477" s="10">
        <f t="shared" si="7"/>
        <v>2025</v>
      </c>
      <c r="R477" s="10">
        <f t="shared" si="8"/>
        <v>1</v>
      </c>
      <c r="S477" s="10" t="str">
        <f t="shared" si="9"/>
        <v>2025-01</v>
      </c>
    </row>
    <row r="478" ht="14.25" customHeight="1">
      <c r="A478" s="7" t="s">
        <v>504</v>
      </c>
      <c r="B478" s="8">
        <v>45684.0</v>
      </c>
      <c r="C478" s="7" t="s">
        <v>23</v>
      </c>
      <c r="D478" s="7" t="s">
        <v>29</v>
      </c>
      <c r="E478" s="9">
        <v>7473.84</v>
      </c>
      <c r="F478" s="9">
        <v>7925.08</v>
      </c>
      <c r="G478" s="9">
        <v>150368.0</v>
      </c>
      <c r="H478" s="9">
        <v>2680.0</v>
      </c>
      <c r="I478" s="9">
        <v>75.0</v>
      </c>
      <c r="J478" s="9">
        <v>2523.16</v>
      </c>
      <c r="K478" s="10">
        <f t="shared" si="1"/>
        <v>0.01782294105</v>
      </c>
      <c r="L478" s="10">
        <f t="shared" si="2"/>
        <v>2.957119403</v>
      </c>
      <c r="M478" s="10">
        <f t="shared" si="3"/>
        <v>105.6677333</v>
      </c>
      <c r="N478" s="10">
        <f t="shared" si="4"/>
        <v>0.3183765968</v>
      </c>
      <c r="O478" s="10">
        <f t="shared" si="5"/>
        <v>-5401.92</v>
      </c>
      <c r="P478" s="10">
        <f t="shared" si="6"/>
        <v>-214.0934384</v>
      </c>
      <c r="Q478" s="10">
        <f t="shared" si="7"/>
        <v>2025</v>
      </c>
      <c r="R478" s="10">
        <f t="shared" si="8"/>
        <v>1</v>
      </c>
      <c r="S478" s="10" t="str">
        <f t="shared" si="9"/>
        <v>2025-01</v>
      </c>
    </row>
    <row r="479" ht="14.25" customHeight="1">
      <c r="A479" s="7" t="s">
        <v>505</v>
      </c>
      <c r="B479" s="8">
        <v>45802.0</v>
      </c>
      <c r="C479" s="7" t="s">
        <v>31</v>
      </c>
      <c r="D479" s="7" t="s">
        <v>29</v>
      </c>
      <c r="E479" s="9">
        <v>6609.17</v>
      </c>
      <c r="F479" s="9">
        <v>6256.6</v>
      </c>
      <c r="G479" s="9">
        <v>199789.0</v>
      </c>
      <c r="H479" s="9">
        <v>2837.0</v>
      </c>
      <c r="I479" s="9">
        <v>387.0</v>
      </c>
      <c r="J479" s="9">
        <v>15482.29</v>
      </c>
      <c r="K479" s="10">
        <f t="shared" si="1"/>
        <v>0.01419998098</v>
      </c>
      <c r="L479" s="10">
        <f t="shared" si="2"/>
        <v>2.205357772</v>
      </c>
      <c r="M479" s="10">
        <f t="shared" si="3"/>
        <v>16.16692506</v>
      </c>
      <c r="N479" s="10">
        <f t="shared" si="4"/>
        <v>2.474553272</v>
      </c>
      <c r="O479" s="10">
        <f t="shared" si="5"/>
        <v>9225.69</v>
      </c>
      <c r="P479" s="10">
        <f t="shared" si="6"/>
        <v>59.5886655</v>
      </c>
      <c r="Q479" s="10">
        <f t="shared" si="7"/>
        <v>2025</v>
      </c>
      <c r="R479" s="10">
        <f t="shared" si="8"/>
        <v>5</v>
      </c>
      <c r="S479" s="10" t="str">
        <f t="shared" si="9"/>
        <v>2025-05</v>
      </c>
    </row>
    <row r="480" ht="14.25" customHeight="1">
      <c r="A480" s="7" t="s">
        <v>506</v>
      </c>
      <c r="B480" s="8">
        <v>45778.0</v>
      </c>
      <c r="C480" s="7" t="s">
        <v>33</v>
      </c>
      <c r="D480" s="7" t="s">
        <v>24</v>
      </c>
      <c r="E480" s="9">
        <v>3977.56</v>
      </c>
      <c r="F480" s="9">
        <v>3217.81</v>
      </c>
      <c r="G480" s="9">
        <v>183098.0</v>
      </c>
      <c r="H480" s="9">
        <v>3716.0</v>
      </c>
      <c r="I480" s="9">
        <v>153.0</v>
      </c>
      <c r="J480" s="9">
        <v>4473.4</v>
      </c>
      <c r="K480" s="10">
        <f t="shared" si="1"/>
        <v>0.02029514249</v>
      </c>
      <c r="L480" s="10">
        <f t="shared" si="2"/>
        <v>0.8659337998</v>
      </c>
      <c r="M480" s="10">
        <f t="shared" si="3"/>
        <v>21.03143791</v>
      </c>
      <c r="N480" s="10">
        <f t="shared" si="4"/>
        <v>1.390200167</v>
      </c>
      <c r="O480" s="10">
        <f t="shared" si="5"/>
        <v>1255.59</v>
      </c>
      <c r="P480" s="10">
        <f t="shared" si="6"/>
        <v>28.06791255</v>
      </c>
      <c r="Q480" s="10">
        <f t="shared" si="7"/>
        <v>2025</v>
      </c>
      <c r="R480" s="10">
        <f t="shared" si="8"/>
        <v>5</v>
      </c>
      <c r="S480" s="10" t="str">
        <f t="shared" si="9"/>
        <v>2025-05</v>
      </c>
    </row>
    <row r="481" ht="14.25" customHeight="1">
      <c r="A481" s="7" t="s">
        <v>507</v>
      </c>
      <c r="B481" s="8">
        <v>45773.0</v>
      </c>
      <c r="C481" s="7" t="s">
        <v>20</v>
      </c>
      <c r="D481" s="7" t="s">
        <v>29</v>
      </c>
      <c r="E481" s="9">
        <v>7932.77</v>
      </c>
      <c r="F481" s="9">
        <v>6826.59</v>
      </c>
      <c r="G481" s="9">
        <v>170452.0</v>
      </c>
      <c r="H481" s="9">
        <v>8283.0</v>
      </c>
      <c r="I481" s="9">
        <v>370.0</v>
      </c>
      <c r="J481" s="9">
        <v>14875.1</v>
      </c>
      <c r="K481" s="10">
        <f t="shared" si="1"/>
        <v>0.04859432568</v>
      </c>
      <c r="L481" s="10">
        <f t="shared" si="2"/>
        <v>0.8241687794</v>
      </c>
      <c r="M481" s="10">
        <f t="shared" si="3"/>
        <v>18.45024324</v>
      </c>
      <c r="N481" s="10">
        <f t="shared" si="4"/>
        <v>2.178994198</v>
      </c>
      <c r="O481" s="10">
        <f t="shared" si="5"/>
        <v>8048.51</v>
      </c>
      <c r="P481" s="10">
        <f t="shared" si="6"/>
        <v>54.10726651</v>
      </c>
      <c r="Q481" s="10">
        <f t="shared" si="7"/>
        <v>2025</v>
      </c>
      <c r="R481" s="10">
        <f t="shared" si="8"/>
        <v>4</v>
      </c>
      <c r="S481" s="10" t="str">
        <f t="shared" si="9"/>
        <v>2025-04</v>
      </c>
    </row>
    <row r="482" ht="14.25" customHeight="1">
      <c r="A482" s="7" t="s">
        <v>508</v>
      </c>
      <c r="B482" s="8">
        <v>45710.0</v>
      </c>
      <c r="C482" s="7" t="s">
        <v>23</v>
      </c>
      <c r="D482" s="7" t="s">
        <v>29</v>
      </c>
      <c r="E482" s="9">
        <v>9789.38</v>
      </c>
      <c r="F482" s="9">
        <v>8107.27</v>
      </c>
      <c r="G482" s="9">
        <v>118097.0</v>
      </c>
      <c r="H482" s="9">
        <v>1117.0</v>
      </c>
      <c r="I482" s="9">
        <v>118.0</v>
      </c>
      <c r="J482" s="9">
        <v>4741.01</v>
      </c>
      <c r="K482" s="10">
        <f t="shared" si="1"/>
        <v>0.00945832663</v>
      </c>
      <c r="L482" s="10">
        <f t="shared" si="2"/>
        <v>7.258075201</v>
      </c>
      <c r="M482" s="10">
        <f t="shared" si="3"/>
        <v>68.70567797</v>
      </c>
      <c r="N482" s="10">
        <f t="shared" si="4"/>
        <v>0.5847850139</v>
      </c>
      <c r="O482" s="10">
        <f t="shared" si="5"/>
        <v>-3366.26</v>
      </c>
      <c r="P482" s="10">
        <f t="shared" si="6"/>
        <v>-71.00301413</v>
      </c>
      <c r="Q482" s="10">
        <f t="shared" si="7"/>
        <v>2025</v>
      </c>
      <c r="R482" s="10">
        <f t="shared" si="8"/>
        <v>2</v>
      </c>
      <c r="S482" s="10" t="str">
        <f t="shared" si="9"/>
        <v>2025-02</v>
      </c>
    </row>
    <row r="483" ht="14.25" customHeight="1">
      <c r="A483" s="7" t="s">
        <v>509</v>
      </c>
      <c r="B483" s="8">
        <v>45804.0</v>
      </c>
      <c r="C483" s="7" t="s">
        <v>20</v>
      </c>
      <c r="D483" s="7" t="s">
        <v>24</v>
      </c>
      <c r="E483" s="9">
        <v>6106.25</v>
      </c>
      <c r="F483" s="9">
        <v>6475.33</v>
      </c>
      <c r="G483" s="9">
        <v>115700.0</v>
      </c>
      <c r="H483" s="9">
        <v>2582.0</v>
      </c>
      <c r="I483" s="9">
        <v>147.0</v>
      </c>
      <c r="J483" s="9">
        <v>3721.23</v>
      </c>
      <c r="K483" s="10">
        <f t="shared" si="1"/>
        <v>0.02231633535</v>
      </c>
      <c r="L483" s="10">
        <f t="shared" si="2"/>
        <v>2.507873741</v>
      </c>
      <c r="M483" s="10">
        <f t="shared" si="3"/>
        <v>44.04986395</v>
      </c>
      <c r="N483" s="10">
        <f t="shared" si="4"/>
        <v>0.5746780473</v>
      </c>
      <c r="O483" s="10">
        <f t="shared" si="5"/>
        <v>-2754.1</v>
      </c>
      <c r="P483" s="10">
        <f t="shared" si="6"/>
        <v>-74.01047503</v>
      </c>
      <c r="Q483" s="10">
        <f t="shared" si="7"/>
        <v>2025</v>
      </c>
      <c r="R483" s="10">
        <f t="shared" si="8"/>
        <v>5</v>
      </c>
      <c r="S483" s="10" t="str">
        <f t="shared" si="9"/>
        <v>2025-05</v>
      </c>
    </row>
    <row r="484" ht="14.25" customHeight="1">
      <c r="A484" s="7" t="s">
        <v>510</v>
      </c>
      <c r="B484" s="8">
        <v>45710.0</v>
      </c>
      <c r="C484" s="7" t="s">
        <v>28</v>
      </c>
      <c r="D484" s="7" t="s">
        <v>26</v>
      </c>
      <c r="E484" s="9">
        <v>7848.38</v>
      </c>
      <c r="F484" s="9">
        <v>8252.06</v>
      </c>
      <c r="G484" s="9">
        <v>55522.0</v>
      </c>
      <c r="H484" s="9">
        <v>2245.0</v>
      </c>
      <c r="I484" s="9">
        <v>185.0</v>
      </c>
      <c r="J484" s="9">
        <v>8942.61</v>
      </c>
      <c r="K484" s="10">
        <f t="shared" si="1"/>
        <v>0.04043442239</v>
      </c>
      <c r="L484" s="10">
        <f t="shared" si="2"/>
        <v>3.675750557</v>
      </c>
      <c r="M484" s="10">
        <f t="shared" si="3"/>
        <v>44.60572973</v>
      </c>
      <c r="N484" s="10">
        <f t="shared" si="4"/>
        <v>1.083682135</v>
      </c>
      <c r="O484" s="10">
        <f t="shared" si="5"/>
        <v>690.55</v>
      </c>
      <c r="P484" s="10">
        <f t="shared" si="6"/>
        <v>7.722018516</v>
      </c>
      <c r="Q484" s="10">
        <f t="shared" si="7"/>
        <v>2025</v>
      </c>
      <c r="R484" s="10">
        <f t="shared" si="8"/>
        <v>2</v>
      </c>
      <c r="S484" s="10" t="str">
        <f t="shared" si="9"/>
        <v>2025-02</v>
      </c>
    </row>
    <row r="485" ht="14.25" customHeight="1">
      <c r="A485" s="7" t="s">
        <v>511</v>
      </c>
      <c r="B485" s="8">
        <v>45775.0</v>
      </c>
      <c r="C485" s="7" t="s">
        <v>23</v>
      </c>
      <c r="D485" s="7" t="s">
        <v>24</v>
      </c>
      <c r="E485" s="9">
        <v>7782.74</v>
      </c>
      <c r="F485" s="9">
        <v>7387.01</v>
      </c>
      <c r="G485" s="9">
        <v>150531.0</v>
      </c>
      <c r="H485" s="9">
        <v>3586.0</v>
      </c>
      <c r="I485" s="9">
        <v>622.0</v>
      </c>
      <c r="J485" s="9">
        <v>23969.03</v>
      </c>
      <c r="K485" s="10">
        <f t="shared" si="1"/>
        <v>0.0238223356</v>
      </c>
      <c r="L485" s="10">
        <f t="shared" si="2"/>
        <v>2.059958171</v>
      </c>
      <c r="M485" s="10">
        <f t="shared" si="3"/>
        <v>11.87622186</v>
      </c>
      <c r="N485" s="10">
        <f t="shared" si="4"/>
        <v>3.244753967</v>
      </c>
      <c r="O485" s="10">
        <f t="shared" si="5"/>
        <v>16582.02</v>
      </c>
      <c r="P485" s="10">
        <f t="shared" si="6"/>
        <v>69.18102234</v>
      </c>
      <c r="Q485" s="10">
        <f t="shared" si="7"/>
        <v>2025</v>
      </c>
      <c r="R485" s="10">
        <f t="shared" si="8"/>
        <v>4</v>
      </c>
      <c r="S485" s="10" t="str">
        <f t="shared" si="9"/>
        <v>2025-04</v>
      </c>
    </row>
    <row r="486" ht="14.25" customHeight="1">
      <c r="A486" s="7" t="s">
        <v>512</v>
      </c>
      <c r="B486" s="8">
        <v>45752.0</v>
      </c>
      <c r="C486" s="7" t="s">
        <v>31</v>
      </c>
      <c r="D486" s="7" t="s">
        <v>24</v>
      </c>
      <c r="E486" s="9">
        <v>9082.33</v>
      </c>
      <c r="F486" s="9">
        <v>8820.6</v>
      </c>
      <c r="G486" s="9">
        <v>103488.0</v>
      </c>
      <c r="H486" s="9">
        <v>2459.0</v>
      </c>
      <c r="I486" s="9">
        <v>416.0</v>
      </c>
      <c r="J486" s="9">
        <v>8699.23</v>
      </c>
      <c r="K486" s="10">
        <f t="shared" si="1"/>
        <v>0.02376120903</v>
      </c>
      <c r="L486" s="10">
        <f t="shared" si="2"/>
        <v>3.587067914</v>
      </c>
      <c r="M486" s="10">
        <f t="shared" si="3"/>
        <v>21.20336538</v>
      </c>
      <c r="N486" s="10">
        <f t="shared" si="4"/>
        <v>0.9862401651</v>
      </c>
      <c r="O486" s="10">
        <f t="shared" si="5"/>
        <v>-121.37</v>
      </c>
      <c r="P486" s="10">
        <f t="shared" si="6"/>
        <v>-1.395180953</v>
      </c>
      <c r="Q486" s="10">
        <f t="shared" si="7"/>
        <v>2025</v>
      </c>
      <c r="R486" s="10">
        <f t="shared" si="8"/>
        <v>4</v>
      </c>
      <c r="S486" s="10" t="str">
        <f t="shared" si="9"/>
        <v>2025-04</v>
      </c>
    </row>
    <row r="487" ht="14.25" customHeight="1">
      <c r="A487" s="7" t="s">
        <v>513</v>
      </c>
      <c r="B487" s="8">
        <v>45674.0</v>
      </c>
      <c r="C487" s="7" t="s">
        <v>33</v>
      </c>
      <c r="D487" s="7" t="s">
        <v>26</v>
      </c>
      <c r="E487" s="9">
        <v>9516.64</v>
      </c>
      <c r="F487" s="9">
        <v>9581.91</v>
      </c>
      <c r="G487" s="9">
        <v>84687.0</v>
      </c>
      <c r="H487" s="9">
        <v>2681.0</v>
      </c>
      <c r="I487" s="9">
        <v>448.0</v>
      </c>
      <c r="J487" s="9">
        <v>18052.34</v>
      </c>
      <c r="K487" s="10">
        <f t="shared" si="1"/>
        <v>0.03165775148</v>
      </c>
      <c r="L487" s="10">
        <f t="shared" si="2"/>
        <v>3.574005968</v>
      </c>
      <c r="M487" s="10">
        <f t="shared" si="3"/>
        <v>21.38819196</v>
      </c>
      <c r="N487" s="10">
        <f t="shared" si="4"/>
        <v>1.88400225</v>
      </c>
      <c r="O487" s="10">
        <f t="shared" si="5"/>
        <v>8470.43</v>
      </c>
      <c r="P487" s="10">
        <f t="shared" si="6"/>
        <v>46.92150713</v>
      </c>
      <c r="Q487" s="10">
        <f t="shared" si="7"/>
        <v>2025</v>
      </c>
      <c r="R487" s="10">
        <f t="shared" si="8"/>
        <v>1</v>
      </c>
      <c r="S487" s="10" t="str">
        <f t="shared" si="9"/>
        <v>2025-01</v>
      </c>
    </row>
    <row r="488" ht="14.25" customHeight="1">
      <c r="A488" s="7" t="s">
        <v>514</v>
      </c>
      <c r="B488" s="8">
        <v>45695.0</v>
      </c>
      <c r="C488" s="7" t="s">
        <v>33</v>
      </c>
      <c r="D488" s="7" t="s">
        <v>26</v>
      </c>
      <c r="E488" s="9">
        <v>4509.73</v>
      </c>
      <c r="F488" s="9">
        <v>4499.2</v>
      </c>
      <c r="G488" s="9">
        <v>147771.0</v>
      </c>
      <c r="H488" s="9">
        <v>5682.0</v>
      </c>
      <c r="I488" s="9">
        <v>699.0</v>
      </c>
      <c r="J488" s="9">
        <v>22239.34</v>
      </c>
      <c r="K488" s="10">
        <f t="shared" si="1"/>
        <v>0.03845138762</v>
      </c>
      <c r="L488" s="10">
        <f t="shared" si="2"/>
        <v>0.7918338613</v>
      </c>
      <c r="M488" s="10">
        <f t="shared" si="3"/>
        <v>6.436623748</v>
      </c>
      <c r="N488" s="10">
        <f t="shared" si="4"/>
        <v>4.942954303</v>
      </c>
      <c r="O488" s="10">
        <f t="shared" si="5"/>
        <v>17740.14</v>
      </c>
      <c r="P488" s="10">
        <f t="shared" si="6"/>
        <v>79.7691838</v>
      </c>
      <c r="Q488" s="10">
        <f t="shared" si="7"/>
        <v>2025</v>
      </c>
      <c r="R488" s="10">
        <f t="shared" si="8"/>
        <v>2</v>
      </c>
      <c r="S488" s="10" t="str">
        <f t="shared" si="9"/>
        <v>2025-02</v>
      </c>
    </row>
    <row r="489" ht="14.25" customHeight="1">
      <c r="A489" s="7" t="s">
        <v>515</v>
      </c>
      <c r="B489" s="8">
        <v>45708.0</v>
      </c>
      <c r="C489" s="7" t="s">
        <v>20</v>
      </c>
      <c r="D489" s="7" t="s">
        <v>29</v>
      </c>
      <c r="E489" s="9">
        <v>7558.63</v>
      </c>
      <c r="F489" s="9">
        <v>6288.61</v>
      </c>
      <c r="G489" s="9">
        <v>112643.0</v>
      </c>
      <c r="H489" s="9">
        <v>4673.0</v>
      </c>
      <c r="I489" s="9">
        <v>506.0</v>
      </c>
      <c r="J489" s="9">
        <v>20106.09</v>
      </c>
      <c r="K489" s="10">
        <f t="shared" si="1"/>
        <v>0.04148504568</v>
      </c>
      <c r="L489" s="10">
        <f t="shared" si="2"/>
        <v>1.345732934</v>
      </c>
      <c r="M489" s="10">
        <f t="shared" si="3"/>
        <v>12.428083</v>
      </c>
      <c r="N489" s="10">
        <f t="shared" si="4"/>
        <v>3.197223234</v>
      </c>
      <c r="O489" s="10">
        <f t="shared" si="5"/>
        <v>13817.48</v>
      </c>
      <c r="P489" s="10">
        <f t="shared" si="6"/>
        <v>68.72285959</v>
      </c>
      <c r="Q489" s="10">
        <f t="shared" si="7"/>
        <v>2025</v>
      </c>
      <c r="R489" s="10">
        <f t="shared" si="8"/>
        <v>2</v>
      </c>
      <c r="S489" s="10" t="str">
        <f t="shared" si="9"/>
        <v>2025-02</v>
      </c>
    </row>
    <row r="490" ht="14.25" customHeight="1">
      <c r="A490" s="7" t="s">
        <v>516</v>
      </c>
      <c r="B490" s="8">
        <v>45680.0</v>
      </c>
      <c r="C490" s="7" t="s">
        <v>28</v>
      </c>
      <c r="D490" s="7" t="s">
        <v>26</v>
      </c>
      <c r="E490" s="9">
        <v>9995.9</v>
      </c>
      <c r="F490" s="9">
        <v>8141.3</v>
      </c>
      <c r="G490" s="9">
        <v>99483.0</v>
      </c>
      <c r="H490" s="9">
        <v>4587.0</v>
      </c>
      <c r="I490" s="9">
        <v>250.0</v>
      </c>
      <c r="J490" s="9">
        <v>12328.81</v>
      </c>
      <c r="K490" s="10">
        <f t="shared" si="1"/>
        <v>0.04610838033</v>
      </c>
      <c r="L490" s="10">
        <f t="shared" si="2"/>
        <v>1.774863745</v>
      </c>
      <c r="M490" s="10">
        <f t="shared" si="3"/>
        <v>32.5652</v>
      </c>
      <c r="N490" s="10">
        <f t="shared" si="4"/>
        <v>1.514353973</v>
      </c>
      <c r="O490" s="10">
        <f t="shared" si="5"/>
        <v>4187.51</v>
      </c>
      <c r="P490" s="10">
        <f t="shared" si="6"/>
        <v>33.96524077</v>
      </c>
      <c r="Q490" s="10">
        <f t="shared" si="7"/>
        <v>2025</v>
      </c>
      <c r="R490" s="10">
        <f t="shared" si="8"/>
        <v>1</v>
      </c>
      <c r="S490" s="10" t="str">
        <f t="shared" si="9"/>
        <v>2025-01</v>
      </c>
    </row>
    <row r="491" ht="14.25" customHeight="1">
      <c r="A491" s="7" t="s">
        <v>517</v>
      </c>
      <c r="B491" s="8">
        <v>45690.0</v>
      </c>
      <c r="C491" s="7" t="s">
        <v>31</v>
      </c>
      <c r="D491" s="7" t="s">
        <v>24</v>
      </c>
      <c r="E491" s="9">
        <v>5848.36</v>
      </c>
      <c r="F491" s="9">
        <v>6206.43</v>
      </c>
      <c r="G491" s="9">
        <v>166799.0</v>
      </c>
      <c r="H491" s="9">
        <v>6009.0</v>
      </c>
      <c r="I491" s="9">
        <v>332.0</v>
      </c>
      <c r="J491" s="9">
        <v>14432.56</v>
      </c>
      <c r="K491" s="10">
        <f t="shared" si="1"/>
        <v>0.03602539584</v>
      </c>
      <c r="L491" s="10">
        <f t="shared" si="2"/>
        <v>1.032855716</v>
      </c>
      <c r="M491" s="10">
        <f t="shared" si="3"/>
        <v>18.69406627</v>
      </c>
      <c r="N491" s="10">
        <f t="shared" si="4"/>
        <v>2.325420572</v>
      </c>
      <c r="O491" s="10">
        <f t="shared" si="5"/>
        <v>8226.13</v>
      </c>
      <c r="P491" s="10">
        <f t="shared" si="6"/>
        <v>56.99702617</v>
      </c>
      <c r="Q491" s="10">
        <f t="shared" si="7"/>
        <v>2025</v>
      </c>
      <c r="R491" s="10">
        <f t="shared" si="8"/>
        <v>2</v>
      </c>
      <c r="S491" s="10" t="str">
        <f t="shared" si="9"/>
        <v>2025-02</v>
      </c>
    </row>
    <row r="492" ht="14.25" customHeight="1">
      <c r="A492" s="7" t="s">
        <v>518</v>
      </c>
      <c r="B492" s="8">
        <v>45728.0</v>
      </c>
      <c r="C492" s="7" t="s">
        <v>31</v>
      </c>
      <c r="D492" s="7" t="s">
        <v>21</v>
      </c>
      <c r="E492" s="9">
        <v>6969.11</v>
      </c>
      <c r="F492" s="9">
        <v>7119.19</v>
      </c>
      <c r="G492" s="9">
        <v>64146.0</v>
      </c>
      <c r="H492" s="9">
        <v>2927.0</v>
      </c>
      <c r="I492" s="9">
        <v>300.0</v>
      </c>
      <c r="J492" s="9">
        <v>13906.64</v>
      </c>
      <c r="K492" s="10">
        <f t="shared" si="1"/>
        <v>0.04563028092</v>
      </c>
      <c r="L492" s="10">
        <f t="shared" si="2"/>
        <v>2.432248036</v>
      </c>
      <c r="M492" s="10">
        <f t="shared" si="3"/>
        <v>23.73063333</v>
      </c>
      <c r="N492" s="10">
        <f t="shared" si="4"/>
        <v>1.953402002</v>
      </c>
      <c r="O492" s="10">
        <f t="shared" si="5"/>
        <v>6787.45</v>
      </c>
      <c r="P492" s="10">
        <f t="shared" si="6"/>
        <v>48.80726042</v>
      </c>
      <c r="Q492" s="10">
        <f t="shared" si="7"/>
        <v>2025</v>
      </c>
      <c r="R492" s="10">
        <f t="shared" si="8"/>
        <v>3</v>
      </c>
      <c r="S492" s="10" t="str">
        <f t="shared" si="9"/>
        <v>2025-03</v>
      </c>
    </row>
    <row r="493" ht="14.25" customHeight="1">
      <c r="A493" s="7" t="s">
        <v>519</v>
      </c>
      <c r="B493" s="8">
        <v>45728.0</v>
      </c>
      <c r="C493" s="7" t="s">
        <v>33</v>
      </c>
      <c r="D493" s="7" t="s">
        <v>21</v>
      </c>
      <c r="E493" s="9">
        <v>5828.98</v>
      </c>
      <c r="F493" s="9">
        <v>5235.06</v>
      </c>
      <c r="G493" s="9">
        <v>165901.0</v>
      </c>
      <c r="H493" s="9">
        <v>3604.0</v>
      </c>
      <c r="I493" s="9">
        <v>431.0</v>
      </c>
      <c r="J493" s="9">
        <v>17251.98</v>
      </c>
      <c r="K493" s="10">
        <f t="shared" si="1"/>
        <v>0.02172379913</v>
      </c>
      <c r="L493" s="10">
        <f t="shared" si="2"/>
        <v>1.452569367</v>
      </c>
      <c r="M493" s="10">
        <f t="shared" si="3"/>
        <v>12.1463109</v>
      </c>
      <c r="N493" s="10">
        <f t="shared" si="4"/>
        <v>3.295469393</v>
      </c>
      <c r="O493" s="10">
        <f t="shared" si="5"/>
        <v>12016.92</v>
      </c>
      <c r="P493" s="10">
        <f t="shared" si="6"/>
        <v>69.65530913</v>
      </c>
      <c r="Q493" s="10">
        <f t="shared" si="7"/>
        <v>2025</v>
      </c>
      <c r="R493" s="10">
        <f t="shared" si="8"/>
        <v>3</v>
      </c>
      <c r="S493" s="10" t="str">
        <f t="shared" si="9"/>
        <v>2025-03</v>
      </c>
    </row>
    <row r="494" ht="14.25" customHeight="1">
      <c r="A494" s="7" t="s">
        <v>520</v>
      </c>
      <c r="B494" s="8">
        <v>45776.0</v>
      </c>
      <c r="C494" s="7" t="s">
        <v>28</v>
      </c>
      <c r="D494" s="7" t="s">
        <v>21</v>
      </c>
      <c r="E494" s="9">
        <v>8654.92</v>
      </c>
      <c r="F494" s="9">
        <v>8903.19</v>
      </c>
      <c r="G494" s="9">
        <v>52359.0</v>
      </c>
      <c r="H494" s="9">
        <v>1523.0</v>
      </c>
      <c r="I494" s="9">
        <v>135.0</v>
      </c>
      <c r="J494" s="9">
        <v>5931.15</v>
      </c>
      <c r="K494" s="10">
        <f t="shared" si="1"/>
        <v>0.02908764491</v>
      </c>
      <c r="L494" s="10">
        <f t="shared" si="2"/>
        <v>5.845824032</v>
      </c>
      <c r="M494" s="10">
        <f t="shared" si="3"/>
        <v>65.94955556</v>
      </c>
      <c r="N494" s="10">
        <f t="shared" si="4"/>
        <v>0.6661825705</v>
      </c>
      <c r="O494" s="10">
        <f t="shared" si="5"/>
        <v>-2972.04</v>
      </c>
      <c r="P494" s="10">
        <f t="shared" si="6"/>
        <v>-50.10900078</v>
      </c>
      <c r="Q494" s="10">
        <f t="shared" si="7"/>
        <v>2025</v>
      </c>
      <c r="R494" s="10">
        <f t="shared" si="8"/>
        <v>4</v>
      </c>
      <c r="S494" s="10" t="str">
        <f t="shared" si="9"/>
        <v>2025-04</v>
      </c>
    </row>
    <row r="495" ht="14.25" customHeight="1">
      <c r="A495" s="7" t="s">
        <v>521</v>
      </c>
      <c r="B495" s="8">
        <v>45799.0</v>
      </c>
      <c r="C495" s="7" t="s">
        <v>23</v>
      </c>
      <c r="D495" s="7" t="s">
        <v>21</v>
      </c>
      <c r="E495" s="9">
        <v>6049.08</v>
      </c>
      <c r="F495" s="9">
        <v>6323.41</v>
      </c>
      <c r="G495" s="9">
        <v>158601.0</v>
      </c>
      <c r="H495" s="9">
        <v>7199.0</v>
      </c>
      <c r="I495" s="9">
        <v>503.0</v>
      </c>
      <c r="J495" s="9">
        <v>11873.95</v>
      </c>
      <c r="K495" s="10">
        <f t="shared" si="1"/>
        <v>0.04539063436</v>
      </c>
      <c r="L495" s="10">
        <f t="shared" si="2"/>
        <v>0.8783733852</v>
      </c>
      <c r="M495" s="10">
        <f t="shared" si="3"/>
        <v>12.57139165</v>
      </c>
      <c r="N495" s="10">
        <f t="shared" si="4"/>
        <v>1.87777639</v>
      </c>
      <c r="O495" s="10">
        <f t="shared" si="5"/>
        <v>5550.54</v>
      </c>
      <c r="P495" s="10">
        <f t="shared" si="6"/>
        <v>46.74552276</v>
      </c>
      <c r="Q495" s="10">
        <f t="shared" si="7"/>
        <v>2025</v>
      </c>
      <c r="R495" s="10">
        <f t="shared" si="8"/>
        <v>5</v>
      </c>
      <c r="S495" s="10" t="str">
        <f t="shared" si="9"/>
        <v>2025-05</v>
      </c>
    </row>
    <row r="496" ht="14.25" customHeight="1">
      <c r="A496" s="7" t="s">
        <v>522</v>
      </c>
      <c r="B496" s="8">
        <v>45698.0</v>
      </c>
      <c r="C496" s="7" t="s">
        <v>31</v>
      </c>
      <c r="D496" s="7" t="s">
        <v>26</v>
      </c>
      <c r="E496" s="9">
        <v>6811.42</v>
      </c>
      <c r="F496" s="9">
        <v>5460.9</v>
      </c>
      <c r="G496" s="9">
        <v>73610.0</v>
      </c>
      <c r="H496" s="9">
        <v>2346.0</v>
      </c>
      <c r="I496" s="9">
        <v>170.0</v>
      </c>
      <c r="J496" s="9">
        <v>5055.39</v>
      </c>
      <c r="K496" s="10">
        <f t="shared" si="1"/>
        <v>0.03187066975</v>
      </c>
      <c r="L496" s="10">
        <f t="shared" si="2"/>
        <v>2.327749361</v>
      </c>
      <c r="M496" s="10">
        <f t="shared" si="3"/>
        <v>32.12294118</v>
      </c>
      <c r="N496" s="10">
        <f t="shared" si="4"/>
        <v>0.9257430094</v>
      </c>
      <c r="O496" s="10">
        <f t="shared" si="5"/>
        <v>-405.51</v>
      </c>
      <c r="P496" s="10">
        <f t="shared" si="6"/>
        <v>-8.0213396</v>
      </c>
      <c r="Q496" s="10">
        <f t="shared" si="7"/>
        <v>2025</v>
      </c>
      <c r="R496" s="10">
        <f t="shared" si="8"/>
        <v>2</v>
      </c>
      <c r="S496" s="10" t="str">
        <f t="shared" si="9"/>
        <v>2025-02</v>
      </c>
    </row>
    <row r="497" ht="14.25" customHeight="1">
      <c r="A497" s="7" t="s">
        <v>523</v>
      </c>
      <c r="B497" s="8">
        <v>45667.0</v>
      </c>
      <c r="C497" s="7" t="s">
        <v>31</v>
      </c>
      <c r="D497" s="7" t="s">
        <v>29</v>
      </c>
      <c r="E497" s="9">
        <v>5565.23</v>
      </c>
      <c r="F497" s="9">
        <v>5113.62</v>
      </c>
      <c r="G497" s="9">
        <v>67169.0</v>
      </c>
      <c r="H497" s="9">
        <v>1577.0</v>
      </c>
      <c r="I497" s="9">
        <v>305.0</v>
      </c>
      <c r="J497" s="9">
        <v>12463.52</v>
      </c>
      <c r="K497" s="10">
        <f t="shared" si="1"/>
        <v>0.02347809257</v>
      </c>
      <c r="L497" s="10">
        <f t="shared" si="2"/>
        <v>3.242625238</v>
      </c>
      <c r="M497" s="10">
        <f t="shared" si="3"/>
        <v>16.76596721</v>
      </c>
      <c r="N497" s="10">
        <f t="shared" si="4"/>
        <v>2.437318377</v>
      </c>
      <c r="O497" s="10">
        <f t="shared" si="5"/>
        <v>7349.9</v>
      </c>
      <c r="P497" s="10">
        <f t="shared" si="6"/>
        <v>58.97130185</v>
      </c>
      <c r="Q497" s="10">
        <f t="shared" si="7"/>
        <v>2025</v>
      </c>
      <c r="R497" s="10">
        <f t="shared" si="8"/>
        <v>1</v>
      </c>
      <c r="S497" s="10" t="str">
        <f t="shared" si="9"/>
        <v>2025-01</v>
      </c>
    </row>
    <row r="498" ht="14.25" customHeight="1">
      <c r="A498" s="7" t="s">
        <v>524</v>
      </c>
      <c r="B498" s="8">
        <v>45699.0</v>
      </c>
      <c r="C498" s="7" t="s">
        <v>33</v>
      </c>
      <c r="D498" s="7" t="s">
        <v>26</v>
      </c>
      <c r="E498" s="9">
        <v>5719.91</v>
      </c>
      <c r="F498" s="9">
        <v>5345.87</v>
      </c>
      <c r="G498" s="9">
        <v>152621.0</v>
      </c>
      <c r="H498" s="9">
        <v>2741.0</v>
      </c>
      <c r="I498" s="9">
        <v>345.0</v>
      </c>
      <c r="J498" s="9">
        <v>9358.58</v>
      </c>
      <c r="K498" s="10">
        <f t="shared" si="1"/>
        <v>0.01795952064</v>
      </c>
      <c r="L498" s="10">
        <f t="shared" si="2"/>
        <v>1.950335644</v>
      </c>
      <c r="M498" s="10">
        <f t="shared" si="3"/>
        <v>15.49527536</v>
      </c>
      <c r="N498" s="10">
        <f t="shared" si="4"/>
        <v>1.750618702</v>
      </c>
      <c r="O498" s="10">
        <f t="shared" si="5"/>
        <v>4012.71</v>
      </c>
      <c r="P498" s="10">
        <f t="shared" si="6"/>
        <v>42.87733823</v>
      </c>
      <c r="Q498" s="10">
        <f t="shared" si="7"/>
        <v>2025</v>
      </c>
      <c r="R498" s="10">
        <f t="shared" si="8"/>
        <v>2</v>
      </c>
      <c r="S498" s="10" t="str">
        <f t="shared" si="9"/>
        <v>2025-02</v>
      </c>
    </row>
    <row r="499" ht="14.25" customHeight="1">
      <c r="A499" s="7" t="s">
        <v>525</v>
      </c>
      <c r="B499" s="8">
        <v>45636.0</v>
      </c>
      <c r="C499" s="7" t="s">
        <v>23</v>
      </c>
      <c r="D499" s="7" t="s">
        <v>21</v>
      </c>
      <c r="E499" s="9">
        <v>5612.76</v>
      </c>
      <c r="F499" s="9">
        <v>4872.89</v>
      </c>
      <c r="G499" s="9">
        <v>107940.0</v>
      </c>
      <c r="H499" s="9">
        <v>2915.0</v>
      </c>
      <c r="I499" s="9">
        <v>150.0</v>
      </c>
      <c r="J499" s="9">
        <v>3329.38</v>
      </c>
      <c r="K499" s="10">
        <f t="shared" si="1"/>
        <v>0.02700574393</v>
      </c>
      <c r="L499" s="10">
        <f t="shared" si="2"/>
        <v>1.671660377</v>
      </c>
      <c r="M499" s="10">
        <f t="shared" si="3"/>
        <v>32.48593333</v>
      </c>
      <c r="N499" s="10">
        <f t="shared" si="4"/>
        <v>0.6832454662</v>
      </c>
      <c r="O499" s="10">
        <f t="shared" si="5"/>
        <v>-1543.51</v>
      </c>
      <c r="P499" s="10">
        <f t="shared" si="6"/>
        <v>-46.3602833</v>
      </c>
      <c r="Q499" s="10">
        <f t="shared" si="7"/>
        <v>2024</v>
      </c>
      <c r="R499" s="10">
        <f t="shared" si="8"/>
        <v>12</v>
      </c>
      <c r="S499" s="10" t="str">
        <f t="shared" si="9"/>
        <v>2024-12</v>
      </c>
    </row>
    <row r="500" ht="14.25" customHeight="1">
      <c r="A500" s="7" t="s">
        <v>526</v>
      </c>
      <c r="B500" s="8">
        <v>45779.0</v>
      </c>
      <c r="C500" s="7" t="s">
        <v>28</v>
      </c>
      <c r="D500" s="7" t="s">
        <v>24</v>
      </c>
      <c r="E500" s="9">
        <v>7224.14</v>
      </c>
      <c r="F500" s="9">
        <v>7227.49</v>
      </c>
      <c r="G500" s="9">
        <v>68836.0</v>
      </c>
      <c r="H500" s="9">
        <v>3169.0</v>
      </c>
      <c r="I500" s="9">
        <v>620.0</v>
      </c>
      <c r="J500" s="9">
        <v>23922.52</v>
      </c>
      <c r="K500" s="10">
        <f t="shared" si="1"/>
        <v>0.04603695741</v>
      </c>
      <c r="L500" s="10">
        <f t="shared" si="2"/>
        <v>2.280684759</v>
      </c>
      <c r="M500" s="10">
        <f t="shared" si="3"/>
        <v>11.65724194</v>
      </c>
      <c r="N500" s="10">
        <f t="shared" si="4"/>
        <v>3.309934708</v>
      </c>
      <c r="O500" s="10">
        <f t="shared" si="5"/>
        <v>16695.03</v>
      </c>
      <c r="P500" s="10">
        <f t="shared" si="6"/>
        <v>69.78792368</v>
      </c>
      <c r="Q500" s="10">
        <f t="shared" si="7"/>
        <v>2025</v>
      </c>
      <c r="R500" s="10">
        <f t="shared" si="8"/>
        <v>5</v>
      </c>
      <c r="S500" s="10" t="str">
        <f t="shared" si="9"/>
        <v>2025-05</v>
      </c>
    </row>
    <row r="501" ht="14.25" customHeight="1">
      <c r="A501" s="7" t="s">
        <v>527</v>
      </c>
      <c r="B501" s="8">
        <v>45771.0</v>
      </c>
      <c r="C501" s="7" t="s">
        <v>31</v>
      </c>
      <c r="D501" s="7" t="s">
        <v>21</v>
      </c>
      <c r="E501" s="9">
        <v>6244.46</v>
      </c>
      <c r="F501" s="9">
        <v>5707.04</v>
      </c>
      <c r="G501" s="9">
        <v>140338.0</v>
      </c>
      <c r="H501" s="9">
        <v>5296.0</v>
      </c>
      <c r="I501" s="9">
        <v>294.0</v>
      </c>
      <c r="J501" s="9">
        <v>13494.6</v>
      </c>
      <c r="K501" s="10">
        <f t="shared" si="1"/>
        <v>0.03773746241</v>
      </c>
      <c r="L501" s="10">
        <f t="shared" si="2"/>
        <v>1.077613293</v>
      </c>
      <c r="M501" s="10">
        <f t="shared" si="3"/>
        <v>19.41170068</v>
      </c>
      <c r="N501" s="10">
        <f t="shared" si="4"/>
        <v>2.364553254</v>
      </c>
      <c r="O501" s="10">
        <f t="shared" si="5"/>
        <v>7787.56</v>
      </c>
      <c r="P501" s="10">
        <f t="shared" si="6"/>
        <v>57.70871311</v>
      </c>
      <c r="Q501" s="10">
        <f t="shared" si="7"/>
        <v>2025</v>
      </c>
      <c r="R501" s="10">
        <f t="shared" si="8"/>
        <v>4</v>
      </c>
      <c r="S501" s="10" t="str">
        <f t="shared" si="9"/>
        <v>2025-04</v>
      </c>
    </row>
    <row r="502" ht="14.25" customHeight="1"/>
    <row r="503" ht="14.25" customHeight="1"/>
    <row r="504" ht="14.25" customHeight="1">
      <c r="R504" s="6" t="s">
        <v>528</v>
      </c>
    </row>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8.88"/>
    <col customWidth="1" min="6" max="6" width="18.13"/>
    <col customWidth="1" min="7" max="7" width="18.5"/>
    <col customWidth="1" min="10" max="10" width="20.13"/>
    <col customWidth="1" min="11" max="11" width="17.0"/>
    <col customWidth="1" min="12" max="12" width="15.5"/>
  </cols>
  <sheetData>
    <row r="1">
      <c r="A1" s="11"/>
      <c r="B1" s="12"/>
      <c r="C1" s="12"/>
      <c r="H1" s="13"/>
      <c r="I1" s="12"/>
      <c r="J1" s="12"/>
    </row>
    <row r="2">
      <c r="A2" s="14"/>
      <c r="B2" s="15"/>
      <c r="C2" s="15"/>
      <c r="H2" s="14"/>
      <c r="I2" s="15"/>
      <c r="J2" s="15"/>
    </row>
    <row r="3">
      <c r="A3" s="14"/>
      <c r="B3" s="15"/>
      <c r="C3" s="15"/>
      <c r="H3" s="14"/>
      <c r="I3" s="15"/>
      <c r="J3" s="15"/>
    </row>
    <row r="4">
      <c r="A4" s="14"/>
      <c r="B4" s="15"/>
      <c r="C4" s="15"/>
      <c r="H4" s="14"/>
      <c r="I4" s="15"/>
      <c r="J4" s="15"/>
    </row>
    <row r="5">
      <c r="A5" s="14"/>
      <c r="B5" s="15"/>
      <c r="C5" s="15"/>
      <c r="H5" s="14"/>
      <c r="I5" s="15"/>
      <c r="J5" s="15"/>
    </row>
    <row r="6">
      <c r="A6" s="14"/>
      <c r="B6" s="15"/>
      <c r="C6" s="15"/>
      <c r="H6" s="14"/>
      <c r="I6" s="15"/>
      <c r="J6" s="15"/>
    </row>
    <row r="7">
      <c r="A7" s="16"/>
      <c r="B7" s="17"/>
      <c r="C7" s="17"/>
      <c r="H7" s="16"/>
      <c r="I7" s="17"/>
      <c r="J7" s="17"/>
    </row>
    <row r="9">
      <c r="J9" s="13" t="s">
        <v>2</v>
      </c>
      <c r="K9" s="12" t="s">
        <v>533</v>
      </c>
      <c r="L9" s="12" t="s">
        <v>534</v>
      </c>
    </row>
    <row r="10">
      <c r="J10" s="14" t="s">
        <v>23</v>
      </c>
      <c r="K10" s="15">
        <v>1285904.9300000002</v>
      </c>
      <c r="L10" s="15">
        <v>713704.8200000004</v>
      </c>
    </row>
    <row r="11">
      <c r="J11" s="14" t="s">
        <v>20</v>
      </c>
      <c r="K11" s="15">
        <v>1371874.6800000004</v>
      </c>
      <c r="L11" s="15">
        <v>734266.1799999997</v>
      </c>
    </row>
    <row r="12">
      <c r="J12" s="14" t="s">
        <v>33</v>
      </c>
      <c r="K12" s="15">
        <v>1413738.0000000002</v>
      </c>
      <c r="L12" s="15">
        <v>796939.2699999999</v>
      </c>
    </row>
    <row r="13">
      <c r="J13" s="14" t="s">
        <v>31</v>
      </c>
      <c r="K13" s="15">
        <v>1287791.2199999997</v>
      </c>
      <c r="L13" s="15">
        <v>635671.9299999998</v>
      </c>
    </row>
    <row r="14">
      <c r="J14" s="14" t="s">
        <v>28</v>
      </c>
      <c r="K14" s="15">
        <v>1193639.2500000002</v>
      </c>
      <c r="L14" s="15">
        <v>539857.69</v>
      </c>
    </row>
    <row r="15">
      <c r="J15" s="16" t="s">
        <v>530</v>
      </c>
      <c r="K15" s="17">
        <v>6552948.079999998</v>
      </c>
      <c r="L15" s="17">
        <v>3420439.89</v>
      </c>
    </row>
    <row r="17"/>
    <row r="18"/>
    <row r="19"/>
    <row r="20"/>
    <row r="21"/>
    <row r="22"/>
    <row r="24">
      <c r="A24" s="13" t="s">
        <v>18</v>
      </c>
      <c r="B24" s="12" t="s">
        <v>538</v>
      </c>
      <c r="C24" s="12" t="s">
        <v>533</v>
      </c>
    </row>
    <row r="25">
      <c r="A25" s="14" t="s">
        <v>540</v>
      </c>
      <c r="B25" s="15">
        <v>387223.67</v>
      </c>
      <c r="C25" s="15">
        <v>669060.35</v>
      </c>
    </row>
    <row r="26">
      <c r="A26" s="14" t="s">
        <v>541</v>
      </c>
      <c r="B26" s="15">
        <v>451320.33999999985</v>
      </c>
      <c r="C26" s="15">
        <v>1049410.8</v>
      </c>
    </row>
    <row r="27">
      <c r="A27" s="14" t="s">
        <v>542</v>
      </c>
      <c r="B27" s="15">
        <v>519247.2100000003</v>
      </c>
      <c r="C27" s="15">
        <v>1178268.7600000007</v>
      </c>
    </row>
    <row r="28">
      <c r="A28" s="14" t="s">
        <v>543</v>
      </c>
      <c r="B28" s="15">
        <v>437450.38999999996</v>
      </c>
      <c r="C28" s="15">
        <v>941547.0099999999</v>
      </c>
    </row>
    <row r="29">
      <c r="A29" s="14" t="s">
        <v>544</v>
      </c>
      <c r="B29" s="15">
        <v>649014.2799999997</v>
      </c>
      <c r="C29" s="15">
        <v>1226838.9999999995</v>
      </c>
    </row>
    <row r="30">
      <c r="A30" s="14" t="s">
        <v>545</v>
      </c>
      <c r="B30" s="15">
        <v>558132.9899999999</v>
      </c>
      <c r="C30" s="15">
        <v>1149303.78</v>
      </c>
    </row>
    <row r="31">
      <c r="A31" s="14" t="s">
        <v>546</v>
      </c>
      <c r="B31" s="15">
        <v>130119.31000000001</v>
      </c>
      <c r="C31" s="15">
        <v>338518.38000000006</v>
      </c>
    </row>
    <row r="32">
      <c r="A32" s="16" t="s">
        <v>530</v>
      </c>
      <c r="B32" s="17">
        <v>3132508.1899999985</v>
      </c>
      <c r="C32" s="17">
        <v>6552948.079999998</v>
      </c>
    </row>
  </sheetData>
  <customSheetViews>
    <customSheetView guid="{A9A8E1AC-ECEE-41D5-9343-5C7162EF66B7}" filter="1" showAutoFilter="1">
      <autoFilter ref="$E$1:$F$7"/>
    </customSheetView>
    <customSheetView guid="{A9A8E1AC-ECEE-41D5-9343-5C7162EF66B7}" filter="1" showAutoFilter="1">
      <autoFilter ref="$J$9:$L$15"/>
    </customSheetView>
    <customSheetView guid="{A9A8E1AC-ECEE-41D5-9343-5C7162EF66B7}" filter="1" showAutoFilter="1">
      <autoFilter ref="$A$17:$C$22"/>
    </customSheetView>
  </customSheetViews>
  <drawing r:id="rId6"/>
  <tableParts count="3">
    <tablePart r:id="rId10"/>
    <tablePart r:id="rId1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38"/>
  </cols>
  <sheetData>
    <row r="1">
      <c r="A1" s="18" t="s">
        <v>547</v>
      </c>
      <c r="B1" s="19"/>
      <c r="C1" s="19"/>
      <c r="D1" s="19"/>
      <c r="E1" s="19"/>
      <c r="F1" s="19"/>
      <c r="G1" s="19"/>
      <c r="H1" s="19"/>
      <c r="I1" s="19"/>
      <c r="J1" s="19"/>
      <c r="K1" s="19"/>
      <c r="L1" s="19"/>
      <c r="M1" s="19"/>
      <c r="N1" s="19"/>
      <c r="O1" s="19"/>
      <c r="P1" s="19"/>
      <c r="Q1" s="19"/>
      <c r="R1" s="19"/>
      <c r="S1" s="19"/>
      <c r="T1" s="19"/>
      <c r="U1" s="19"/>
      <c r="V1" s="19"/>
      <c r="W1" s="19"/>
      <c r="X1" s="19"/>
      <c r="Y1" s="19"/>
      <c r="Z1" s="19"/>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21"/>
      <c r="B3" s="21"/>
      <c r="C3" s="22"/>
      <c r="D3" s="22"/>
      <c r="E3" s="20"/>
      <c r="F3" s="20"/>
      <c r="G3" s="20"/>
      <c r="H3" s="20"/>
      <c r="I3" s="20"/>
      <c r="J3" s="20"/>
      <c r="K3" s="20"/>
      <c r="L3" s="20"/>
      <c r="M3" s="20"/>
      <c r="N3" s="20"/>
      <c r="O3" s="20"/>
      <c r="P3" s="20"/>
      <c r="Q3" s="20"/>
      <c r="R3" s="20"/>
      <c r="S3" s="20"/>
      <c r="T3" s="20"/>
      <c r="U3" s="20"/>
      <c r="V3" s="20"/>
      <c r="W3" s="20"/>
      <c r="X3" s="20"/>
      <c r="Y3" s="20"/>
      <c r="Z3" s="20"/>
    </row>
    <row r="4">
      <c r="A4" s="21"/>
      <c r="B4" s="23"/>
      <c r="C4" s="20"/>
      <c r="D4" s="20"/>
      <c r="E4" s="20"/>
      <c r="F4" s="20"/>
      <c r="G4" s="20"/>
      <c r="H4" s="20"/>
      <c r="I4" s="20"/>
      <c r="J4" s="20"/>
      <c r="K4" s="20"/>
      <c r="L4" s="20"/>
      <c r="M4" s="20"/>
      <c r="N4" s="20"/>
      <c r="O4" s="20"/>
      <c r="P4" s="20"/>
      <c r="Q4" s="20"/>
      <c r="R4" s="20"/>
      <c r="S4" s="20"/>
      <c r="T4" s="20"/>
      <c r="U4" s="20"/>
      <c r="V4" s="20"/>
      <c r="W4" s="20"/>
      <c r="X4" s="20"/>
      <c r="Y4" s="20"/>
      <c r="Z4" s="20"/>
    </row>
    <row r="5">
      <c r="A5" s="21"/>
      <c r="B5" s="23"/>
      <c r="C5" s="20"/>
      <c r="D5" s="20"/>
      <c r="E5" s="20"/>
      <c r="F5" s="20"/>
      <c r="G5" s="20"/>
      <c r="H5" s="20"/>
      <c r="I5" s="20"/>
      <c r="J5" s="20"/>
      <c r="K5" s="20"/>
      <c r="L5" s="20"/>
      <c r="M5" s="20"/>
      <c r="N5" s="20"/>
      <c r="O5" s="20"/>
      <c r="P5" s="20"/>
      <c r="Q5" s="20"/>
      <c r="R5" s="20"/>
      <c r="S5" s="20"/>
      <c r="T5" s="20"/>
      <c r="U5" s="20"/>
      <c r="V5" s="20"/>
      <c r="W5" s="20"/>
      <c r="X5" s="20"/>
      <c r="Y5" s="20"/>
      <c r="Z5" s="20"/>
    </row>
    <row r="6">
      <c r="A6" s="21"/>
      <c r="B6" s="23"/>
      <c r="C6" s="20"/>
      <c r="D6" s="20"/>
      <c r="E6" s="20"/>
      <c r="F6" s="20"/>
      <c r="G6" s="20"/>
      <c r="H6" s="20"/>
      <c r="I6" s="20"/>
      <c r="J6" s="20"/>
      <c r="K6" s="20"/>
      <c r="L6" s="20"/>
      <c r="M6" s="20"/>
      <c r="N6" s="20"/>
      <c r="O6" s="20"/>
      <c r="P6" s="20"/>
      <c r="Q6" s="20"/>
      <c r="R6" s="20"/>
      <c r="S6" s="20"/>
      <c r="T6" s="20"/>
      <c r="U6" s="20"/>
      <c r="V6" s="20"/>
      <c r="W6" s="20"/>
      <c r="X6" s="20"/>
      <c r="Y6" s="20"/>
      <c r="Z6" s="20"/>
    </row>
    <row r="7">
      <c r="A7" s="21"/>
      <c r="B7" s="24"/>
      <c r="C7" s="20"/>
      <c r="D7" s="20"/>
      <c r="E7" s="20"/>
      <c r="F7" s="20"/>
      <c r="G7" s="20"/>
      <c r="H7" s="20"/>
      <c r="I7" s="20"/>
      <c r="J7" s="20"/>
      <c r="K7" s="20"/>
      <c r="L7" s="20"/>
      <c r="M7" s="20"/>
      <c r="N7" s="20"/>
      <c r="O7" s="20"/>
      <c r="P7" s="20"/>
      <c r="Q7" s="20"/>
      <c r="R7" s="20"/>
      <c r="S7" s="20"/>
      <c r="T7" s="20"/>
      <c r="U7" s="20"/>
      <c r="V7" s="20"/>
      <c r="W7" s="20"/>
      <c r="X7" s="20"/>
      <c r="Y7" s="20"/>
      <c r="Z7" s="20"/>
    </row>
    <row r="8">
      <c r="A8" s="20"/>
      <c r="B8" s="25"/>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 t="s">
        <v>548</v>
      </c>
      <c r="B1" s="27"/>
      <c r="C1" s="27"/>
      <c r="D1" s="27"/>
      <c r="E1" s="27"/>
      <c r="F1" s="27"/>
      <c r="G1" s="27"/>
      <c r="H1" s="27"/>
      <c r="I1" s="27"/>
      <c r="J1" s="27"/>
      <c r="K1" s="27"/>
      <c r="L1" s="27"/>
      <c r="M1" s="27"/>
      <c r="N1" s="27"/>
      <c r="O1" s="27"/>
      <c r="P1" s="27"/>
      <c r="Q1" s="27"/>
      <c r="R1" s="27"/>
      <c r="S1" s="27"/>
      <c r="T1" s="27"/>
      <c r="U1" s="27"/>
      <c r="V1" s="27"/>
      <c r="W1" s="27"/>
      <c r="X1" s="27"/>
      <c r="Y1" s="27"/>
      <c r="Z1" s="27"/>
    </row>
  </sheetData>
  <drawing r:id="rId1"/>
</worksheet>
</file>